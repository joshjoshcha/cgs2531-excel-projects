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hajeonghun/Desktop/CGS2531/"/>
    </mc:Choice>
  </mc:AlternateContent>
  <xr:revisionPtr revIDLastSave="0" documentId="13_ncr:1_{B7540982-98F6-7C4E-8CAC-4D3809DF3B11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Honor Pledge" sheetId="8" r:id="rId1"/>
    <sheet name="Class Budget Data" sheetId="9" r:id="rId2"/>
    <sheet name="Descriptive statistics" sheetId="16" r:id="rId3"/>
    <sheet name="Toolpak summary" sheetId="15" r:id="rId4"/>
  </sheets>
  <definedNames>
    <definedName name="_xlnm._FilterDatabase" localSheetId="1" hidden="1">'Class Budget Data'!$B$1:$C$380</definedName>
    <definedName name="_xlchart.v1.0" hidden="1">'Class Budget Data'!$B$2:$B$216</definedName>
    <definedName name="_xlchart.v1.1" hidden="1">'Class Budget Data'!$C$1</definedName>
    <definedName name="_xlchart.v1.2" hidden="1">'Class Budget Data'!$C$2:$C$216</definedName>
    <definedName name="_xlchart.v1.3" hidden="1">'Class Budget Data'!$D$1</definedName>
    <definedName name="_xlchart.v1.4" hidden="1">'Class Budget Data'!$D$2:$D$216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" i="9"/>
  <c r="H223" i="9"/>
  <c r="H222" i="9"/>
  <c r="G3" i="9"/>
  <c r="G4" i="9"/>
  <c r="G5" i="9"/>
  <c r="G6" i="9"/>
  <c r="G7" i="9"/>
  <c r="G8" i="9"/>
  <c r="I8" i="9" s="1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I94" i="9" s="1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" i="9"/>
  <c r="I2" i="9" s="1"/>
  <c r="H217" i="9"/>
  <c r="I3" i="9"/>
  <c r="I4" i="9"/>
  <c r="I5" i="9"/>
  <c r="I6" i="9"/>
  <c r="I7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" i="9"/>
  <c r="F66" i="9"/>
  <c r="F106" i="9"/>
  <c r="F139" i="9"/>
  <c r="F170" i="9"/>
  <c r="F171" i="9"/>
  <c r="F202" i="9"/>
  <c r="F203" i="9"/>
  <c r="C218" i="9"/>
  <c r="B218" i="9"/>
  <c r="F42" i="9" s="1"/>
  <c r="I217" i="9" l="1"/>
  <c r="H219" i="9" s="1"/>
  <c r="H220" i="9" s="1"/>
  <c r="F58" i="9"/>
  <c r="F163" i="9"/>
  <c r="F98" i="9"/>
  <c r="F210" i="9"/>
  <c r="F178" i="9"/>
  <c r="F146" i="9"/>
  <c r="F113" i="9"/>
  <c r="F74" i="9"/>
  <c r="F105" i="9"/>
  <c r="F195" i="9"/>
  <c r="F131" i="9"/>
  <c r="F50" i="9"/>
  <c r="F194" i="9"/>
  <c r="F162" i="9"/>
  <c r="F130" i="9"/>
  <c r="F97" i="9"/>
  <c r="F127" i="9"/>
  <c r="F3" i="9"/>
  <c r="F11" i="9"/>
  <c r="F19" i="9"/>
  <c r="F27" i="9"/>
  <c r="F35" i="9"/>
  <c r="F43" i="9"/>
  <c r="F51" i="9"/>
  <c r="F59" i="9"/>
  <c r="F67" i="9"/>
  <c r="F75" i="9"/>
  <c r="F83" i="9"/>
  <c r="F91" i="9"/>
  <c r="F99" i="9"/>
  <c r="F107" i="9"/>
  <c r="F115" i="9"/>
  <c r="F123" i="9"/>
  <c r="F132" i="9"/>
  <c r="F140" i="9"/>
  <c r="F148" i="9"/>
  <c r="F156" i="9"/>
  <c r="F164" i="9"/>
  <c r="F172" i="9"/>
  <c r="F180" i="9"/>
  <c r="F188" i="9"/>
  <c r="F196" i="9"/>
  <c r="F204" i="9"/>
  <c r="F212" i="9"/>
  <c r="F12" i="9"/>
  <c r="F20" i="9"/>
  <c r="F28" i="9"/>
  <c r="F36" i="9"/>
  <c r="F44" i="9"/>
  <c r="F52" i="9"/>
  <c r="F60" i="9"/>
  <c r="F68" i="9"/>
  <c r="F76" i="9"/>
  <c r="F84" i="9"/>
  <c r="F92" i="9"/>
  <c r="F100" i="9"/>
  <c r="F108" i="9"/>
  <c r="F116" i="9"/>
  <c r="F124" i="9"/>
  <c r="F133" i="9"/>
  <c r="F141" i="9"/>
  <c r="F149" i="9"/>
  <c r="F157" i="9"/>
  <c r="F173" i="9"/>
  <c r="F181" i="9"/>
  <c r="F189" i="9"/>
  <c r="F197" i="9"/>
  <c r="F205" i="9"/>
  <c r="F213" i="9"/>
  <c r="F174" i="9"/>
  <c r="F198" i="9"/>
  <c r="F6" i="9"/>
  <c r="F38" i="9"/>
  <c r="F54" i="9"/>
  <c r="F70" i="9"/>
  <c r="F94" i="9"/>
  <c r="F110" i="9"/>
  <c r="F135" i="9"/>
  <c r="F159" i="9"/>
  <c r="F183" i="9"/>
  <c r="F207" i="9"/>
  <c r="F7" i="9"/>
  <c r="F31" i="9"/>
  <c r="F63" i="9"/>
  <c r="F87" i="9"/>
  <c r="F111" i="9"/>
  <c r="F136" i="9"/>
  <c r="F160" i="9"/>
  <c r="F184" i="9"/>
  <c r="F200" i="9"/>
  <c r="F8" i="9"/>
  <c r="F32" i="9"/>
  <c r="F56" i="9"/>
  <c r="F80" i="9"/>
  <c r="F104" i="9"/>
  <c r="F129" i="9"/>
  <c r="F153" i="9"/>
  <c r="F177" i="9"/>
  <c r="F201" i="9"/>
  <c r="F9" i="9"/>
  <c r="F33" i="9"/>
  <c r="F57" i="9"/>
  <c r="F4" i="9"/>
  <c r="F165" i="9"/>
  <c r="F214" i="9"/>
  <c r="F22" i="9"/>
  <c r="F78" i="9"/>
  <c r="F118" i="9"/>
  <c r="F143" i="9"/>
  <c r="F167" i="9"/>
  <c r="F191" i="9"/>
  <c r="F215" i="9"/>
  <c r="F23" i="9"/>
  <c r="F47" i="9"/>
  <c r="F79" i="9"/>
  <c r="F95" i="9"/>
  <c r="F119" i="9"/>
  <c r="F152" i="9"/>
  <c r="F176" i="9"/>
  <c r="F208" i="9"/>
  <c r="F16" i="9"/>
  <c r="F40" i="9"/>
  <c r="F64" i="9"/>
  <c r="F88" i="9"/>
  <c r="F112" i="9"/>
  <c r="F137" i="9"/>
  <c r="F161" i="9"/>
  <c r="F185" i="9"/>
  <c r="F209" i="9"/>
  <c r="F17" i="9"/>
  <c r="F41" i="9"/>
  <c r="F65" i="9"/>
  <c r="F89" i="9"/>
  <c r="F5" i="9"/>
  <c r="F13" i="9"/>
  <c r="F21" i="9"/>
  <c r="F29" i="9"/>
  <c r="F37" i="9"/>
  <c r="F45" i="9"/>
  <c r="F53" i="9"/>
  <c r="F61" i="9"/>
  <c r="F69" i="9"/>
  <c r="F77" i="9"/>
  <c r="F85" i="9"/>
  <c r="F93" i="9"/>
  <c r="F101" i="9"/>
  <c r="F109" i="9"/>
  <c r="F117" i="9"/>
  <c r="F125" i="9"/>
  <c r="F134" i="9"/>
  <c r="F142" i="9"/>
  <c r="F150" i="9"/>
  <c r="F158" i="9"/>
  <c r="F166" i="9"/>
  <c r="F182" i="9"/>
  <c r="F190" i="9"/>
  <c r="F206" i="9"/>
  <c r="F14" i="9"/>
  <c r="F30" i="9"/>
  <c r="F46" i="9"/>
  <c r="F62" i="9"/>
  <c r="F86" i="9"/>
  <c r="F102" i="9"/>
  <c r="F126" i="9"/>
  <c r="F151" i="9"/>
  <c r="F175" i="9"/>
  <c r="F199" i="9"/>
  <c r="F15" i="9"/>
  <c r="F39" i="9"/>
  <c r="F55" i="9"/>
  <c r="F71" i="9"/>
  <c r="F103" i="9"/>
  <c r="F128" i="9"/>
  <c r="F144" i="9"/>
  <c r="F168" i="9"/>
  <c r="F192" i="9"/>
  <c r="F216" i="9"/>
  <c r="F24" i="9"/>
  <c r="F48" i="9"/>
  <c r="F72" i="9"/>
  <c r="F96" i="9"/>
  <c r="F120" i="9"/>
  <c r="F145" i="9"/>
  <c r="F169" i="9"/>
  <c r="F193" i="9"/>
  <c r="F2" i="9"/>
  <c r="F25" i="9"/>
  <c r="F49" i="9"/>
  <c r="F73" i="9"/>
  <c r="F10" i="9"/>
  <c r="F187" i="9"/>
  <c r="F155" i="9"/>
  <c r="F122" i="9"/>
  <c r="F90" i="9"/>
  <c r="F34" i="9"/>
  <c r="F186" i="9"/>
  <c r="F154" i="9"/>
  <c r="F121" i="9"/>
  <c r="F82" i="9"/>
  <c r="F26" i="9"/>
  <c r="F138" i="9"/>
  <c r="F211" i="9"/>
  <c r="F179" i="9"/>
  <c r="F147" i="9"/>
  <c r="F114" i="9"/>
  <c r="F81" i="9"/>
  <c r="F18" i="9"/>
</calcChain>
</file>

<file path=xl/sharedStrings.xml><?xml version="1.0" encoding="utf-8"?>
<sst xmlns="http://schemas.openxmlformats.org/spreadsheetml/2006/main" count="72" uniqueCount="52">
  <si>
    <r>
      <t>On my honor, I, Josh Cha</t>
    </r>
    <r>
      <rPr>
        <i/>
        <sz val="12"/>
        <color rgb="FF2D3B45"/>
        <rFont val="Arial"/>
        <family val="2"/>
      </rPr>
      <t>,</t>
    </r>
    <r>
      <rPr>
        <sz val="12"/>
        <color rgb="FF2D3B45"/>
        <rFont val="Arial"/>
        <family val="2"/>
      </rPr>
      <t>have neither given nor received unauthorized aid in doing this assignment.</t>
    </r>
  </si>
  <si>
    <t>Monthly income ($)</t>
  </si>
  <si>
    <t>Monthly rent payment ($)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</si>
  <si>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</si>
  <si>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</si>
  <si>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</si>
  <si>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</si>
  <si>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</si>
  <si>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</si>
  <si>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</si>
  <si>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</si>
  <si>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</si>
  <si>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</si>
  <si>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</si>
  <si>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</si>
  <si>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</si>
  <si>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</si>
  <si>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</si>
  <si>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</si>
  <si>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</si>
  <si>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</si>
  <si>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</si>
  <si>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</si>
  <si>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</si>
  <si>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</si>
  <si>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</si>
  <si>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</si>
  <si>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 monthly rent payment ($)</t>
  </si>
  <si>
    <t>x-xbar</t>
  </si>
  <si>
    <t>y-ybar</t>
  </si>
  <si>
    <t>(x-xbar)^2</t>
  </si>
  <si>
    <t>(x-xbar)(y-ybar)</t>
  </si>
  <si>
    <t>Average</t>
  </si>
  <si>
    <t>#</t>
  </si>
  <si>
    <t>Manual calculation results</t>
  </si>
  <si>
    <t xml:space="preserve">Slope </t>
  </si>
  <si>
    <t>Toolpak Results</t>
  </si>
  <si>
    <t>Slope</t>
  </si>
  <si>
    <t>Equation</t>
  </si>
  <si>
    <t>y' = 958.348 + 0.06*x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</si>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</sst>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000000"/>
    <numFmt numFmtId="167" formatCode="0.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D3B45"/>
      <name val="Arial"/>
      <family val="2"/>
    </font>
    <font>
      <i/>
      <sz val="12"/>
      <color rgb="FF2D3B45"/>
      <name val="Arial"/>
      <family val="2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3" fontId="0" fillId="0" borderId="0" xfId="0" applyNumberFormat="1"/>
    <xf numFmtId="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5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 vertical="center"/>
    </xf>
    <xf numFmtId="166" fontId="0" fillId="0" borderId="0" xfId="0" applyNumberFormat="1"/>
    <xf numFmtId="0" fontId="0" fillId="2" borderId="0" xfId="0" applyFill="1" applyAlignment="1">
      <alignment horizontal="center" vertical="center" wrapText="1" shrinkToFit="1"/>
    </xf>
    <xf numFmtId="167" fontId="0" fillId="0" borderId="0" xfId="0" applyNumberFormat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'Class Budget Data'!$C$1</c:f>
              <c:strCache>
                <c:ptCount val="1"/>
                <c:pt idx="0">
                  <c:v>Monthly rent payment ($)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'Class Budget Data'!$B$2:$B$216</c:f>
              <c:numCache>
                <c:formatCode>#,##0</c:formatCode>
                <c:ptCount val="215"/>
                <c:pt idx="0" formatCode="General">
                  <c:v>4020</c:v>
                </c:pt>
                <c:pt idx="1">
                  <c:v>4000</c:v>
                </c:pt>
                <c:pt idx="2">
                  <c:v>4000</c:v>
                </c:pt>
                <c:pt idx="3" formatCode="General">
                  <c:v>4000</c:v>
                </c:pt>
                <c:pt idx="4" formatCode="General">
                  <c:v>4000</c:v>
                </c:pt>
                <c:pt idx="5" formatCode="General">
                  <c:v>4000</c:v>
                </c:pt>
                <c:pt idx="6" formatCode="General">
                  <c:v>4000</c:v>
                </c:pt>
                <c:pt idx="7" formatCode="General">
                  <c:v>4000</c:v>
                </c:pt>
                <c:pt idx="8" formatCode="General">
                  <c:v>3500</c:v>
                </c:pt>
                <c:pt idx="9" formatCode="General">
                  <c:v>3190</c:v>
                </c:pt>
                <c:pt idx="10" formatCode="General">
                  <c:v>3100</c:v>
                </c:pt>
                <c:pt idx="11" formatCode="General">
                  <c:v>3000</c:v>
                </c:pt>
                <c:pt idx="12" formatCode="General">
                  <c:v>3000</c:v>
                </c:pt>
                <c:pt idx="13" formatCode="General">
                  <c:v>3000</c:v>
                </c:pt>
                <c:pt idx="14" formatCode="General">
                  <c:v>3000</c:v>
                </c:pt>
                <c:pt idx="15" formatCode="General">
                  <c:v>3000</c:v>
                </c:pt>
                <c:pt idx="16" formatCode="General">
                  <c:v>3000</c:v>
                </c:pt>
                <c:pt idx="17" formatCode="General">
                  <c:v>3000</c:v>
                </c:pt>
                <c:pt idx="18" formatCode="General">
                  <c:v>3000</c:v>
                </c:pt>
                <c:pt idx="19" formatCode="General">
                  <c:v>3000</c:v>
                </c:pt>
                <c:pt idx="20" formatCode="General">
                  <c:v>2800</c:v>
                </c:pt>
                <c:pt idx="21">
                  <c:v>2700</c:v>
                </c:pt>
                <c:pt idx="22" formatCode="General">
                  <c:v>2700</c:v>
                </c:pt>
                <c:pt idx="23" formatCode="General">
                  <c:v>2500</c:v>
                </c:pt>
                <c:pt idx="24" formatCode="General">
                  <c:v>2500</c:v>
                </c:pt>
                <c:pt idx="25" formatCode="General">
                  <c:v>2500</c:v>
                </c:pt>
                <c:pt idx="26" formatCode="General">
                  <c:v>2500</c:v>
                </c:pt>
                <c:pt idx="27" formatCode="General">
                  <c:v>2500</c:v>
                </c:pt>
                <c:pt idx="28" formatCode="General">
                  <c:v>2500</c:v>
                </c:pt>
                <c:pt idx="29" formatCode="General">
                  <c:v>2500</c:v>
                </c:pt>
                <c:pt idx="30" formatCode="General">
                  <c:v>2500</c:v>
                </c:pt>
                <c:pt idx="31" formatCode="General">
                  <c:v>2200</c:v>
                </c:pt>
                <c:pt idx="32" formatCode="General">
                  <c:v>2180</c:v>
                </c:pt>
                <c:pt idx="33" formatCode="#,##0.00">
                  <c:v>2128.96</c:v>
                </c:pt>
                <c:pt idx="34" formatCode="General">
                  <c:v>2000</c:v>
                </c:pt>
                <c:pt idx="35" formatCode="General">
                  <c:v>2000</c:v>
                </c:pt>
                <c:pt idx="36" formatCode="General">
                  <c:v>2000</c:v>
                </c:pt>
                <c:pt idx="37" formatCode="General">
                  <c:v>2000</c:v>
                </c:pt>
                <c:pt idx="38" formatCode="General">
                  <c:v>2000</c:v>
                </c:pt>
                <c:pt idx="39" formatCode="General">
                  <c:v>2000</c:v>
                </c:pt>
                <c:pt idx="40" formatCode="General">
                  <c:v>2000</c:v>
                </c:pt>
                <c:pt idx="41" formatCode="General">
                  <c:v>2000</c:v>
                </c:pt>
                <c:pt idx="42" formatCode="General">
                  <c:v>2000</c:v>
                </c:pt>
                <c:pt idx="43" formatCode="General">
                  <c:v>2000</c:v>
                </c:pt>
                <c:pt idx="44" formatCode="General">
                  <c:v>2000</c:v>
                </c:pt>
                <c:pt idx="45" formatCode="General">
                  <c:v>2000</c:v>
                </c:pt>
                <c:pt idx="46" formatCode="General">
                  <c:v>2000</c:v>
                </c:pt>
                <c:pt idx="47" formatCode="General">
                  <c:v>2000</c:v>
                </c:pt>
                <c:pt idx="48" formatCode="General">
                  <c:v>2000</c:v>
                </c:pt>
                <c:pt idx="49" formatCode="General">
                  <c:v>2000</c:v>
                </c:pt>
                <c:pt idx="50" formatCode="General">
                  <c:v>2000</c:v>
                </c:pt>
                <c:pt idx="51" formatCode="General">
                  <c:v>2000</c:v>
                </c:pt>
                <c:pt idx="52" formatCode="General">
                  <c:v>2000</c:v>
                </c:pt>
                <c:pt idx="53" formatCode="General">
                  <c:v>2000</c:v>
                </c:pt>
                <c:pt idx="54" formatCode="General">
                  <c:v>2000</c:v>
                </c:pt>
                <c:pt idx="55" formatCode="General">
                  <c:v>1900</c:v>
                </c:pt>
                <c:pt idx="56" formatCode="General">
                  <c:v>1900</c:v>
                </c:pt>
                <c:pt idx="57">
                  <c:v>1800</c:v>
                </c:pt>
                <c:pt idx="58" formatCode="General">
                  <c:v>1800</c:v>
                </c:pt>
                <c:pt idx="59" formatCode="General">
                  <c:v>1800</c:v>
                </c:pt>
                <c:pt idx="60" formatCode="General">
                  <c:v>1800</c:v>
                </c:pt>
                <c:pt idx="61" formatCode="General">
                  <c:v>1800</c:v>
                </c:pt>
                <c:pt idx="62" formatCode="General">
                  <c:v>1750</c:v>
                </c:pt>
                <c:pt idx="63" formatCode="General">
                  <c:v>1750</c:v>
                </c:pt>
                <c:pt idx="64" formatCode="General">
                  <c:v>1700</c:v>
                </c:pt>
                <c:pt idx="65" formatCode="General">
                  <c:v>1676</c:v>
                </c:pt>
                <c:pt idx="66">
                  <c:v>1632</c:v>
                </c:pt>
                <c:pt idx="67" formatCode="General">
                  <c:v>1630</c:v>
                </c:pt>
                <c:pt idx="68">
                  <c:v>1600</c:v>
                </c:pt>
                <c:pt idx="69" formatCode="General">
                  <c:v>1600</c:v>
                </c:pt>
                <c:pt idx="70" formatCode="General">
                  <c:v>1583</c:v>
                </c:pt>
                <c:pt idx="71" formatCode="General">
                  <c:v>1500</c:v>
                </c:pt>
                <c:pt idx="72" formatCode="General">
                  <c:v>1500</c:v>
                </c:pt>
                <c:pt idx="73" formatCode="General">
                  <c:v>1500</c:v>
                </c:pt>
                <c:pt idx="74" formatCode="General">
                  <c:v>1500</c:v>
                </c:pt>
                <c:pt idx="75" formatCode="General">
                  <c:v>1500</c:v>
                </c:pt>
                <c:pt idx="76" formatCode="General">
                  <c:v>1500</c:v>
                </c:pt>
                <c:pt idx="77" formatCode="General">
                  <c:v>1500</c:v>
                </c:pt>
                <c:pt idx="78" formatCode="General">
                  <c:v>1500</c:v>
                </c:pt>
                <c:pt idx="79" formatCode="General">
                  <c:v>1500</c:v>
                </c:pt>
                <c:pt idx="80" formatCode="General">
                  <c:v>1400</c:v>
                </c:pt>
                <c:pt idx="81" formatCode="General">
                  <c:v>1400</c:v>
                </c:pt>
                <c:pt idx="82" formatCode="General">
                  <c:v>1400</c:v>
                </c:pt>
                <c:pt idx="83" formatCode="General">
                  <c:v>1300</c:v>
                </c:pt>
                <c:pt idx="84" formatCode="General">
                  <c:v>1300</c:v>
                </c:pt>
                <c:pt idx="85" formatCode="General">
                  <c:v>1300</c:v>
                </c:pt>
                <c:pt idx="86">
                  <c:v>1300</c:v>
                </c:pt>
                <c:pt idx="87" formatCode="General">
                  <c:v>1300</c:v>
                </c:pt>
                <c:pt idx="88" formatCode="General">
                  <c:v>1300</c:v>
                </c:pt>
                <c:pt idx="89" formatCode="General">
                  <c:v>1300</c:v>
                </c:pt>
                <c:pt idx="90">
                  <c:v>1200</c:v>
                </c:pt>
                <c:pt idx="91" formatCode="General">
                  <c:v>1200</c:v>
                </c:pt>
                <c:pt idx="92" formatCode="General">
                  <c:v>1200</c:v>
                </c:pt>
                <c:pt idx="93" formatCode="General">
                  <c:v>1200</c:v>
                </c:pt>
                <c:pt idx="94">
                  <c:v>1200</c:v>
                </c:pt>
                <c:pt idx="95" formatCode="General">
                  <c:v>1100</c:v>
                </c:pt>
                <c:pt idx="96" formatCode="General">
                  <c:v>1100</c:v>
                </c:pt>
                <c:pt idx="97" formatCode="General">
                  <c:v>1087</c:v>
                </c:pt>
                <c:pt idx="98" formatCode="General">
                  <c:v>1063</c:v>
                </c:pt>
                <c:pt idx="99" formatCode="General">
                  <c:v>1024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 formatCode="General">
                  <c:v>1000</c:v>
                </c:pt>
                <c:pt idx="104">
                  <c:v>1000</c:v>
                </c:pt>
                <c:pt idx="105">
                  <c:v>1000</c:v>
                </c:pt>
                <c:pt idx="106" formatCode="General">
                  <c:v>1000</c:v>
                </c:pt>
                <c:pt idx="107" formatCode="General">
                  <c:v>1000</c:v>
                </c:pt>
                <c:pt idx="108" formatCode="General">
                  <c:v>1000</c:v>
                </c:pt>
                <c:pt idx="109" formatCode="General">
                  <c:v>1000</c:v>
                </c:pt>
                <c:pt idx="110" formatCode="General">
                  <c:v>1000</c:v>
                </c:pt>
                <c:pt idx="111" formatCode="General">
                  <c:v>1000</c:v>
                </c:pt>
                <c:pt idx="112" formatCode="General">
                  <c:v>1000</c:v>
                </c:pt>
                <c:pt idx="113" formatCode="General">
                  <c:v>1000</c:v>
                </c:pt>
                <c:pt idx="114" formatCode="General">
                  <c:v>1000</c:v>
                </c:pt>
                <c:pt idx="115" formatCode="General">
                  <c:v>1000</c:v>
                </c:pt>
                <c:pt idx="116" formatCode="General">
                  <c:v>1000</c:v>
                </c:pt>
                <c:pt idx="117" formatCode="General">
                  <c:v>1000</c:v>
                </c:pt>
                <c:pt idx="118" formatCode="General">
                  <c:v>1000</c:v>
                </c:pt>
                <c:pt idx="119" formatCode="General">
                  <c:v>1000</c:v>
                </c:pt>
                <c:pt idx="120" formatCode="General">
                  <c:v>1000</c:v>
                </c:pt>
                <c:pt idx="121" formatCode="General">
                  <c:v>1000</c:v>
                </c:pt>
                <c:pt idx="122" formatCode="General">
                  <c:v>1000</c:v>
                </c:pt>
                <c:pt idx="123" formatCode="General">
                  <c:v>1000</c:v>
                </c:pt>
                <c:pt idx="124" formatCode="General">
                  <c:v>1000</c:v>
                </c:pt>
                <c:pt idx="125" formatCode="General">
                  <c:v>1000</c:v>
                </c:pt>
                <c:pt idx="126" formatCode="General">
                  <c:v>1000</c:v>
                </c:pt>
                <c:pt idx="127" formatCode="General">
                  <c:v>920</c:v>
                </c:pt>
                <c:pt idx="128" formatCode="General">
                  <c:v>920</c:v>
                </c:pt>
                <c:pt idx="129" formatCode="General">
                  <c:v>900</c:v>
                </c:pt>
                <c:pt idx="130" formatCode="General">
                  <c:v>816</c:v>
                </c:pt>
                <c:pt idx="131" formatCode="General">
                  <c:v>800</c:v>
                </c:pt>
                <c:pt idx="132" formatCode="General">
                  <c:v>800</c:v>
                </c:pt>
                <c:pt idx="133" formatCode="General">
                  <c:v>800</c:v>
                </c:pt>
                <c:pt idx="134" formatCode="General">
                  <c:v>800</c:v>
                </c:pt>
                <c:pt idx="135" formatCode="General">
                  <c:v>800</c:v>
                </c:pt>
                <c:pt idx="136" formatCode="General">
                  <c:v>800</c:v>
                </c:pt>
                <c:pt idx="137" formatCode="General">
                  <c:v>800</c:v>
                </c:pt>
                <c:pt idx="138" formatCode="General">
                  <c:v>800</c:v>
                </c:pt>
                <c:pt idx="139" formatCode="General">
                  <c:v>750</c:v>
                </c:pt>
                <c:pt idx="140" formatCode="General">
                  <c:v>750</c:v>
                </c:pt>
                <c:pt idx="141" formatCode="General">
                  <c:v>750</c:v>
                </c:pt>
                <c:pt idx="142" formatCode="General">
                  <c:v>720</c:v>
                </c:pt>
                <c:pt idx="143" formatCode="General">
                  <c:v>700</c:v>
                </c:pt>
                <c:pt idx="144" formatCode="General">
                  <c:v>700</c:v>
                </c:pt>
                <c:pt idx="145" formatCode="General">
                  <c:v>700</c:v>
                </c:pt>
                <c:pt idx="146" formatCode="General">
                  <c:v>700</c:v>
                </c:pt>
                <c:pt idx="147" formatCode="General">
                  <c:v>650</c:v>
                </c:pt>
                <c:pt idx="148" formatCode="General">
                  <c:v>600</c:v>
                </c:pt>
                <c:pt idx="149" formatCode="General">
                  <c:v>600</c:v>
                </c:pt>
                <c:pt idx="150" formatCode="General">
                  <c:v>600</c:v>
                </c:pt>
                <c:pt idx="151" formatCode="General">
                  <c:v>600</c:v>
                </c:pt>
                <c:pt idx="152" formatCode="General">
                  <c:v>600</c:v>
                </c:pt>
                <c:pt idx="153" formatCode="General">
                  <c:v>600</c:v>
                </c:pt>
                <c:pt idx="154" formatCode="General">
                  <c:v>583</c:v>
                </c:pt>
                <c:pt idx="155" formatCode="General">
                  <c:v>540</c:v>
                </c:pt>
                <c:pt idx="156" formatCode="General">
                  <c:v>528</c:v>
                </c:pt>
                <c:pt idx="157" formatCode="General">
                  <c:v>500</c:v>
                </c:pt>
                <c:pt idx="158" formatCode="General">
                  <c:v>500</c:v>
                </c:pt>
                <c:pt idx="159" formatCode="General">
                  <c:v>500</c:v>
                </c:pt>
                <c:pt idx="160" formatCode="General">
                  <c:v>500</c:v>
                </c:pt>
                <c:pt idx="161" formatCode="General">
                  <c:v>500</c:v>
                </c:pt>
                <c:pt idx="162" formatCode="General">
                  <c:v>500</c:v>
                </c:pt>
                <c:pt idx="163" formatCode="General">
                  <c:v>500</c:v>
                </c:pt>
                <c:pt idx="164" formatCode="General">
                  <c:v>500</c:v>
                </c:pt>
                <c:pt idx="165" formatCode="General">
                  <c:v>500</c:v>
                </c:pt>
                <c:pt idx="166" formatCode="General">
                  <c:v>500</c:v>
                </c:pt>
                <c:pt idx="167" formatCode="General">
                  <c:v>500</c:v>
                </c:pt>
                <c:pt idx="168" formatCode="General">
                  <c:v>500</c:v>
                </c:pt>
                <c:pt idx="169" formatCode="General">
                  <c:v>500</c:v>
                </c:pt>
                <c:pt idx="170" formatCode="General">
                  <c:v>500</c:v>
                </c:pt>
                <c:pt idx="171" formatCode="General">
                  <c:v>500</c:v>
                </c:pt>
                <c:pt idx="172" formatCode="General">
                  <c:v>500</c:v>
                </c:pt>
                <c:pt idx="173" formatCode="General">
                  <c:v>500</c:v>
                </c:pt>
                <c:pt idx="174" formatCode="General">
                  <c:v>460</c:v>
                </c:pt>
                <c:pt idx="175" formatCode="General">
                  <c:v>450</c:v>
                </c:pt>
                <c:pt idx="176" formatCode="General">
                  <c:v>450</c:v>
                </c:pt>
                <c:pt idx="177" formatCode="General">
                  <c:v>450</c:v>
                </c:pt>
                <c:pt idx="178" formatCode="General">
                  <c:v>450</c:v>
                </c:pt>
                <c:pt idx="179" formatCode="General">
                  <c:v>400</c:v>
                </c:pt>
                <c:pt idx="180" formatCode="General">
                  <c:v>400</c:v>
                </c:pt>
                <c:pt idx="181" formatCode="General">
                  <c:v>400</c:v>
                </c:pt>
                <c:pt idx="182" formatCode="General">
                  <c:v>400</c:v>
                </c:pt>
                <c:pt idx="183" formatCode="General">
                  <c:v>375</c:v>
                </c:pt>
                <c:pt idx="184" formatCode="General">
                  <c:v>350</c:v>
                </c:pt>
                <c:pt idx="185" formatCode="General">
                  <c:v>350</c:v>
                </c:pt>
                <c:pt idx="186" formatCode="General">
                  <c:v>300</c:v>
                </c:pt>
                <c:pt idx="187" formatCode="General">
                  <c:v>300</c:v>
                </c:pt>
                <c:pt idx="188" formatCode="General">
                  <c:v>300</c:v>
                </c:pt>
                <c:pt idx="189" formatCode="General">
                  <c:v>300</c:v>
                </c:pt>
                <c:pt idx="190" formatCode="General">
                  <c:v>300</c:v>
                </c:pt>
                <c:pt idx="191" formatCode="General">
                  <c:v>280</c:v>
                </c:pt>
                <c:pt idx="192" formatCode="General">
                  <c:v>250</c:v>
                </c:pt>
                <c:pt idx="193" formatCode="General">
                  <c:v>250</c:v>
                </c:pt>
                <c:pt idx="194" formatCode="General">
                  <c:v>250</c:v>
                </c:pt>
                <c:pt idx="195" formatCode="General">
                  <c:v>250</c:v>
                </c:pt>
                <c:pt idx="196" formatCode="General">
                  <c:v>200</c:v>
                </c:pt>
                <c:pt idx="197" formatCode="General">
                  <c:v>200</c:v>
                </c:pt>
                <c:pt idx="198" formatCode="General">
                  <c:v>200</c:v>
                </c:pt>
                <c:pt idx="199" formatCode="General">
                  <c:v>200</c:v>
                </c:pt>
                <c:pt idx="200" formatCode="General">
                  <c:v>200</c:v>
                </c:pt>
                <c:pt idx="201" formatCode="General">
                  <c:v>200</c:v>
                </c:pt>
                <c:pt idx="202" formatCode="General">
                  <c:v>200</c:v>
                </c:pt>
                <c:pt idx="203" formatCode="General">
                  <c:v>200</c:v>
                </c:pt>
                <c:pt idx="204" formatCode="General">
                  <c:v>200</c:v>
                </c:pt>
                <c:pt idx="205" formatCode="General">
                  <c:v>200</c:v>
                </c:pt>
                <c:pt idx="206" formatCode="General">
                  <c:v>200</c:v>
                </c:pt>
                <c:pt idx="207" formatCode="General">
                  <c:v>100</c:v>
                </c:pt>
                <c:pt idx="208" formatCode="General">
                  <c:v>100</c:v>
                </c:pt>
                <c:pt idx="209" formatCode="General">
                  <c:v>100</c:v>
                </c:pt>
                <c:pt idx="210" formatCode="General">
                  <c:v>100</c:v>
                </c:pt>
                <c:pt idx="211" formatCode="General">
                  <c:v>60</c:v>
                </c:pt>
                <c:pt idx="212" formatCode="General">
                  <c:v>50</c:v>
                </c:pt>
                <c:pt idx="213" formatCode="General">
                  <c:v>50</c:v>
                </c:pt>
                <c:pt idx="214" formatCode="General">
                  <c:v>35</c:v>
                </c:pt>
              </c:numCache>
            </c:numRef>
          </c:xVal>
          <c:yVal>
            <c:numRef>
              <c:f>'Class Budget Data'!$C$2:$C$216</c:f>
              <c:numCache>
                <c:formatCode>General</c:formatCode>
                <c:ptCount val="215"/>
                <c:pt idx="0">
                  <c:v>1200</c:v>
                </c:pt>
                <c:pt idx="1">
                  <c:v>1200</c:v>
                </c:pt>
                <c:pt idx="2">
                  <c:v>1000</c:v>
                </c:pt>
                <c:pt idx="3">
                  <c:v>1200</c:v>
                </c:pt>
                <c:pt idx="4">
                  <c:v>1100</c:v>
                </c:pt>
                <c:pt idx="5">
                  <c:v>1200</c:v>
                </c:pt>
                <c:pt idx="6">
                  <c:v>850</c:v>
                </c:pt>
                <c:pt idx="7">
                  <c:v>750</c:v>
                </c:pt>
                <c:pt idx="8">
                  <c:v>500</c:v>
                </c:pt>
                <c:pt idx="9">
                  <c:v>1400</c:v>
                </c:pt>
                <c:pt idx="10">
                  <c:v>390</c:v>
                </c:pt>
                <c:pt idx="11">
                  <c:v>900</c:v>
                </c:pt>
                <c:pt idx="12">
                  <c:v>1000</c:v>
                </c:pt>
                <c:pt idx="13">
                  <c:v>1200</c:v>
                </c:pt>
                <c:pt idx="14">
                  <c:v>889</c:v>
                </c:pt>
                <c:pt idx="15" formatCode="#,##0">
                  <c:v>1300</c:v>
                </c:pt>
                <c:pt idx="16">
                  <c:v>1000</c:v>
                </c:pt>
                <c:pt idx="17">
                  <c:v>1800</c:v>
                </c:pt>
                <c:pt idx="18">
                  <c:v>1000</c:v>
                </c:pt>
                <c:pt idx="19">
                  <c:v>715</c:v>
                </c:pt>
                <c:pt idx="20">
                  <c:v>1100</c:v>
                </c:pt>
                <c:pt idx="21">
                  <c:v>583</c:v>
                </c:pt>
                <c:pt idx="22">
                  <c:v>500</c:v>
                </c:pt>
                <c:pt idx="23">
                  <c:v>700</c:v>
                </c:pt>
                <c:pt idx="24">
                  <c:v>1200</c:v>
                </c:pt>
                <c:pt idx="25">
                  <c:v>50</c:v>
                </c:pt>
                <c:pt idx="26">
                  <c:v>900</c:v>
                </c:pt>
                <c:pt idx="27">
                  <c:v>550</c:v>
                </c:pt>
                <c:pt idx="28">
                  <c:v>800</c:v>
                </c:pt>
                <c:pt idx="29">
                  <c:v>910</c:v>
                </c:pt>
                <c:pt idx="30">
                  <c:v>1000</c:v>
                </c:pt>
                <c:pt idx="31">
                  <c:v>600</c:v>
                </c:pt>
                <c:pt idx="32">
                  <c:v>1015</c:v>
                </c:pt>
                <c:pt idx="33">
                  <c:v>1400</c:v>
                </c:pt>
                <c:pt idx="34">
                  <c:v>656</c:v>
                </c:pt>
                <c:pt idx="35">
                  <c:v>1470</c:v>
                </c:pt>
                <c:pt idx="36">
                  <c:v>915</c:v>
                </c:pt>
                <c:pt idx="37">
                  <c:v>1250</c:v>
                </c:pt>
                <c:pt idx="38">
                  <c:v>1800</c:v>
                </c:pt>
                <c:pt idx="39">
                  <c:v>600</c:v>
                </c:pt>
                <c:pt idx="40">
                  <c:v>1200</c:v>
                </c:pt>
                <c:pt idx="41">
                  <c:v>980</c:v>
                </c:pt>
                <c:pt idx="42">
                  <c:v>740</c:v>
                </c:pt>
                <c:pt idx="43">
                  <c:v>779</c:v>
                </c:pt>
                <c:pt idx="44">
                  <c:v>1200</c:v>
                </c:pt>
                <c:pt idx="45">
                  <c:v>900</c:v>
                </c:pt>
                <c:pt idx="46">
                  <c:v>400</c:v>
                </c:pt>
                <c:pt idx="47">
                  <c:v>650</c:v>
                </c:pt>
                <c:pt idx="48">
                  <c:v>1200</c:v>
                </c:pt>
                <c:pt idx="49">
                  <c:v>1200</c:v>
                </c:pt>
                <c:pt idx="50">
                  <c:v>950</c:v>
                </c:pt>
                <c:pt idx="51">
                  <c:v>900</c:v>
                </c:pt>
                <c:pt idx="52">
                  <c:v>1380</c:v>
                </c:pt>
                <c:pt idx="53">
                  <c:v>1000</c:v>
                </c:pt>
                <c:pt idx="54">
                  <c:v>912</c:v>
                </c:pt>
                <c:pt idx="55">
                  <c:v>1000</c:v>
                </c:pt>
                <c:pt idx="56">
                  <c:v>900</c:v>
                </c:pt>
                <c:pt idx="57">
                  <c:v>1100</c:v>
                </c:pt>
                <c:pt idx="58">
                  <c:v>1100</c:v>
                </c:pt>
                <c:pt idx="59">
                  <c:v>1450</c:v>
                </c:pt>
                <c:pt idx="60">
                  <c:v>1500</c:v>
                </c:pt>
                <c:pt idx="61">
                  <c:v>750</c:v>
                </c:pt>
                <c:pt idx="62">
                  <c:v>766</c:v>
                </c:pt>
                <c:pt idx="63">
                  <c:v>900</c:v>
                </c:pt>
                <c:pt idx="64">
                  <c:v>580</c:v>
                </c:pt>
                <c:pt idx="65">
                  <c:v>800</c:v>
                </c:pt>
                <c:pt idx="66">
                  <c:v>1000</c:v>
                </c:pt>
                <c:pt idx="67">
                  <c:v>1500</c:v>
                </c:pt>
                <c:pt idx="68">
                  <c:v>1600</c:v>
                </c:pt>
                <c:pt idx="69">
                  <c:v>2000</c:v>
                </c:pt>
                <c:pt idx="70">
                  <c:v>900</c:v>
                </c:pt>
                <c:pt idx="71">
                  <c:v>1000</c:v>
                </c:pt>
                <c:pt idx="72">
                  <c:v>1150</c:v>
                </c:pt>
                <c:pt idx="73">
                  <c:v>850</c:v>
                </c:pt>
                <c:pt idx="74">
                  <c:v>535</c:v>
                </c:pt>
                <c:pt idx="75">
                  <c:v>700</c:v>
                </c:pt>
                <c:pt idx="76">
                  <c:v>200</c:v>
                </c:pt>
                <c:pt idx="77">
                  <c:v>725</c:v>
                </c:pt>
                <c:pt idx="78">
                  <c:v>1300</c:v>
                </c:pt>
                <c:pt idx="79">
                  <c:v>700</c:v>
                </c:pt>
                <c:pt idx="80">
                  <c:v>1200</c:v>
                </c:pt>
                <c:pt idx="81">
                  <c:v>670</c:v>
                </c:pt>
                <c:pt idx="82">
                  <c:v>850</c:v>
                </c:pt>
                <c:pt idx="83">
                  <c:v>300</c:v>
                </c:pt>
                <c:pt idx="84">
                  <c:v>1100</c:v>
                </c:pt>
                <c:pt idx="85">
                  <c:v>1000</c:v>
                </c:pt>
                <c:pt idx="86">
                  <c:v>725</c:v>
                </c:pt>
                <c:pt idx="87">
                  <c:v>711</c:v>
                </c:pt>
                <c:pt idx="88">
                  <c:v>800</c:v>
                </c:pt>
                <c:pt idx="89">
                  <c:v>1080</c:v>
                </c:pt>
                <c:pt idx="90">
                  <c:v>1000</c:v>
                </c:pt>
                <c:pt idx="91">
                  <c:v>1400</c:v>
                </c:pt>
                <c:pt idx="92">
                  <c:v>900</c:v>
                </c:pt>
                <c:pt idx="93">
                  <c:v>1000</c:v>
                </c:pt>
                <c:pt idx="94">
                  <c:v>70</c:v>
                </c:pt>
                <c:pt idx="95">
                  <c:v>750</c:v>
                </c:pt>
                <c:pt idx="96">
                  <c:v>725</c:v>
                </c:pt>
                <c:pt idx="97">
                  <c:v>1000</c:v>
                </c:pt>
                <c:pt idx="98">
                  <c:v>560</c:v>
                </c:pt>
                <c:pt idx="99">
                  <c:v>830</c:v>
                </c:pt>
                <c:pt idx="100">
                  <c:v>1000</c:v>
                </c:pt>
                <c:pt idx="101">
                  <c:v>900</c:v>
                </c:pt>
                <c:pt idx="102">
                  <c:v>2000</c:v>
                </c:pt>
                <c:pt idx="103">
                  <c:v>665</c:v>
                </c:pt>
                <c:pt idx="104">
                  <c:v>592</c:v>
                </c:pt>
                <c:pt idx="105">
                  <c:v>850</c:v>
                </c:pt>
                <c:pt idx="106">
                  <c:v>900</c:v>
                </c:pt>
                <c:pt idx="107">
                  <c:v>900</c:v>
                </c:pt>
                <c:pt idx="108">
                  <c:v>1300</c:v>
                </c:pt>
                <c:pt idx="109">
                  <c:v>200</c:v>
                </c:pt>
                <c:pt idx="110">
                  <c:v>2049</c:v>
                </c:pt>
                <c:pt idx="111">
                  <c:v>1000</c:v>
                </c:pt>
                <c:pt idx="112">
                  <c:v>720</c:v>
                </c:pt>
                <c:pt idx="113">
                  <c:v>560</c:v>
                </c:pt>
                <c:pt idx="114">
                  <c:v>1000</c:v>
                </c:pt>
                <c:pt idx="115">
                  <c:v>1200</c:v>
                </c:pt>
                <c:pt idx="116">
                  <c:v>1100</c:v>
                </c:pt>
                <c:pt idx="117">
                  <c:v>1200</c:v>
                </c:pt>
                <c:pt idx="118" formatCode="#,##0">
                  <c:v>1000</c:v>
                </c:pt>
                <c:pt idx="119">
                  <c:v>800</c:v>
                </c:pt>
                <c:pt idx="120">
                  <c:v>925</c:v>
                </c:pt>
                <c:pt idx="121">
                  <c:v>750</c:v>
                </c:pt>
                <c:pt idx="122">
                  <c:v>750</c:v>
                </c:pt>
                <c:pt idx="123">
                  <c:v>869</c:v>
                </c:pt>
                <c:pt idx="124">
                  <c:v>1400</c:v>
                </c:pt>
                <c:pt idx="125">
                  <c:v>1250</c:v>
                </c:pt>
                <c:pt idx="126">
                  <c:v>1090</c:v>
                </c:pt>
                <c:pt idx="127">
                  <c:v>350</c:v>
                </c:pt>
                <c:pt idx="128">
                  <c:v>4109</c:v>
                </c:pt>
                <c:pt idx="129">
                  <c:v>720</c:v>
                </c:pt>
                <c:pt idx="130">
                  <c:v>500</c:v>
                </c:pt>
                <c:pt idx="131">
                  <c:v>1200</c:v>
                </c:pt>
                <c:pt idx="132" formatCode="#,##0">
                  <c:v>1200</c:v>
                </c:pt>
                <c:pt idx="133">
                  <c:v>1200</c:v>
                </c:pt>
                <c:pt idx="134">
                  <c:v>850</c:v>
                </c:pt>
                <c:pt idx="135">
                  <c:v>1400</c:v>
                </c:pt>
                <c:pt idx="136">
                  <c:v>1000</c:v>
                </c:pt>
                <c:pt idx="137">
                  <c:v>860</c:v>
                </c:pt>
                <c:pt idx="138">
                  <c:v>750</c:v>
                </c:pt>
                <c:pt idx="139">
                  <c:v>2000</c:v>
                </c:pt>
                <c:pt idx="140">
                  <c:v>500</c:v>
                </c:pt>
                <c:pt idx="141">
                  <c:v>1000</c:v>
                </c:pt>
                <c:pt idx="142">
                  <c:v>1000</c:v>
                </c:pt>
                <c:pt idx="143">
                  <c:v>583</c:v>
                </c:pt>
                <c:pt idx="144">
                  <c:v>1100</c:v>
                </c:pt>
                <c:pt idx="145">
                  <c:v>700</c:v>
                </c:pt>
                <c:pt idx="146" formatCode="#,##0">
                  <c:v>1250</c:v>
                </c:pt>
                <c:pt idx="147">
                  <c:v>850</c:v>
                </c:pt>
                <c:pt idx="148">
                  <c:v>1100</c:v>
                </c:pt>
                <c:pt idx="149">
                  <c:v>200</c:v>
                </c:pt>
                <c:pt idx="150">
                  <c:v>850</c:v>
                </c:pt>
                <c:pt idx="151" formatCode="#,##0">
                  <c:v>1000</c:v>
                </c:pt>
                <c:pt idx="152">
                  <c:v>500</c:v>
                </c:pt>
                <c:pt idx="153">
                  <c:v>969</c:v>
                </c:pt>
                <c:pt idx="154">
                  <c:v>900</c:v>
                </c:pt>
                <c:pt idx="155">
                  <c:v>1000</c:v>
                </c:pt>
                <c:pt idx="156">
                  <c:v>1000</c:v>
                </c:pt>
                <c:pt idx="157">
                  <c:v>1025</c:v>
                </c:pt>
                <c:pt idx="158">
                  <c:v>850</c:v>
                </c:pt>
                <c:pt idx="159">
                  <c:v>955</c:v>
                </c:pt>
                <c:pt idx="160">
                  <c:v>860</c:v>
                </c:pt>
                <c:pt idx="161">
                  <c:v>1345</c:v>
                </c:pt>
                <c:pt idx="162">
                  <c:v>1050</c:v>
                </c:pt>
                <c:pt idx="163">
                  <c:v>1200</c:v>
                </c:pt>
                <c:pt idx="164">
                  <c:v>1500</c:v>
                </c:pt>
                <c:pt idx="165">
                  <c:v>860</c:v>
                </c:pt>
                <c:pt idx="166">
                  <c:v>500</c:v>
                </c:pt>
                <c:pt idx="167">
                  <c:v>941.5</c:v>
                </c:pt>
                <c:pt idx="168">
                  <c:v>650</c:v>
                </c:pt>
                <c:pt idx="169">
                  <c:v>1200</c:v>
                </c:pt>
                <c:pt idx="170">
                  <c:v>600</c:v>
                </c:pt>
                <c:pt idx="171">
                  <c:v>1500</c:v>
                </c:pt>
                <c:pt idx="172">
                  <c:v>1000</c:v>
                </c:pt>
                <c:pt idx="173">
                  <c:v>1300</c:v>
                </c:pt>
                <c:pt idx="174">
                  <c:v>1000</c:v>
                </c:pt>
                <c:pt idx="175">
                  <c:v>950</c:v>
                </c:pt>
                <c:pt idx="176">
                  <c:v>600</c:v>
                </c:pt>
                <c:pt idx="177">
                  <c:v>935</c:v>
                </c:pt>
                <c:pt idx="178">
                  <c:v>400</c:v>
                </c:pt>
                <c:pt idx="179">
                  <c:v>820</c:v>
                </c:pt>
                <c:pt idx="180">
                  <c:v>1100</c:v>
                </c:pt>
                <c:pt idx="181">
                  <c:v>941</c:v>
                </c:pt>
                <c:pt idx="182">
                  <c:v>1500</c:v>
                </c:pt>
                <c:pt idx="183">
                  <c:v>1000</c:v>
                </c:pt>
                <c:pt idx="184">
                  <c:v>1200</c:v>
                </c:pt>
                <c:pt idx="185">
                  <c:v>800</c:v>
                </c:pt>
                <c:pt idx="186">
                  <c:v>800</c:v>
                </c:pt>
                <c:pt idx="187">
                  <c:v>900</c:v>
                </c:pt>
                <c:pt idx="188">
                  <c:v>820</c:v>
                </c:pt>
                <c:pt idx="189">
                  <c:v>1000</c:v>
                </c:pt>
                <c:pt idx="190">
                  <c:v>400</c:v>
                </c:pt>
                <c:pt idx="191">
                  <c:v>950</c:v>
                </c:pt>
                <c:pt idx="192">
                  <c:v>650</c:v>
                </c:pt>
                <c:pt idx="193">
                  <c:v>1059</c:v>
                </c:pt>
                <c:pt idx="194">
                  <c:v>333</c:v>
                </c:pt>
                <c:pt idx="195">
                  <c:v>1100</c:v>
                </c:pt>
                <c:pt idx="196">
                  <c:v>770</c:v>
                </c:pt>
                <c:pt idx="197">
                  <c:v>775</c:v>
                </c:pt>
                <c:pt idx="198">
                  <c:v>950</c:v>
                </c:pt>
                <c:pt idx="199" formatCode="#,##0.00">
                  <c:v>1166.67</c:v>
                </c:pt>
                <c:pt idx="200">
                  <c:v>1200</c:v>
                </c:pt>
                <c:pt idx="201">
                  <c:v>1000</c:v>
                </c:pt>
                <c:pt idx="202">
                  <c:v>1479</c:v>
                </c:pt>
                <c:pt idx="203">
                  <c:v>1600</c:v>
                </c:pt>
                <c:pt idx="204">
                  <c:v>1000</c:v>
                </c:pt>
                <c:pt idx="205">
                  <c:v>750</c:v>
                </c:pt>
                <c:pt idx="206">
                  <c:v>500</c:v>
                </c:pt>
                <c:pt idx="207">
                  <c:v>880</c:v>
                </c:pt>
                <c:pt idx="208">
                  <c:v>700</c:v>
                </c:pt>
                <c:pt idx="209">
                  <c:v>1200</c:v>
                </c:pt>
                <c:pt idx="210">
                  <c:v>1400</c:v>
                </c:pt>
                <c:pt idx="211">
                  <c:v>900</c:v>
                </c:pt>
                <c:pt idx="212">
                  <c:v>1200</c:v>
                </c:pt>
                <c:pt idx="213">
                  <c:v>600</c:v>
                </c:pt>
                <c:pt idx="214">
                  <c:v>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D-7648-865F-A5FDF4D45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597120"/>
        <c:axId val="1554221248"/>
      </c:scatterChart>
      <c:scatterChart>
        <c:scatterStyle val="smoothMarker"/>
        <c:varyColors val="0"/>
        <c:ser>
          <c:idx val="1"/>
          <c:order val="1"/>
          <c:tx>
            <c:strRef>
              <c:f>'Class Budget Data'!$D$1</c:f>
              <c:strCache>
                <c:ptCount val="1"/>
                <c:pt idx="0">
                  <c:v>Predicted monthly rent payment ($)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'Class Budget Data'!$B$2:$B$216</c:f>
              <c:numCache>
                <c:formatCode>#,##0</c:formatCode>
                <c:ptCount val="215"/>
                <c:pt idx="0" formatCode="General">
                  <c:v>4020</c:v>
                </c:pt>
                <c:pt idx="1">
                  <c:v>4000</c:v>
                </c:pt>
                <c:pt idx="2">
                  <c:v>4000</c:v>
                </c:pt>
                <c:pt idx="3" formatCode="General">
                  <c:v>4000</c:v>
                </c:pt>
                <c:pt idx="4" formatCode="General">
                  <c:v>4000</c:v>
                </c:pt>
                <c:pt idx="5" formatCode="General">
                  <c:v>4000</c:v>
                </c:pt>
                <c:pt idx="6" formatCode="General">
                  <c:v>4000</c:v>
                </c:pt>
                <c:pt idx="7" formatCode="General">
                  <c:v>4000</c:v>
                </c:pt>
                <c:pt idx="8" formatCode="General">
                  <c:v>3500</c:v>
                </c:pt>
                <c:pt idx="9" formatCode="General">
                  <c:v>3190</c:v>
                </c:pt>
                <c:pt idx="10" formatCode="General">
                  <c:v>3100</c:v>
                </c:pt>
                <c:pt idx="11" formatCode="General">
                  <c:v>3000</c:v>
                </c:pt>
                <c:pt idx="12" formatCode="General">
                  <c:v>3000</c:v>
                </c:pt>
                <c:pt idx="13" formatCode="General">
                  <c:v>3000</c:v>
                </c:pt>
                <c:pt idx="14" formatCode="General">
                  <c:v>3000</c:v>
                </c:pt>
                <c:pt idx="15" formatCode="General">
                  <c:v>3000</c:v>
                </c:pt>
                <c:pt idx="16" formatCode="General">
                  <c:v>3000</c:v>
                </c:pt>
                <c:pt idx="17" formatCode="General">
                  <c:v>3000</c:v>
                </c:pt>
                <c:pt idx="18" formatCode="General">
                  <c:v>3000</c:v>
                </c:pt>
                <c:pt idx="19" formatCode="General">
                  <c:v>3000</c:v>
                </c:pt>
                <c:pt idx="20" formatCode="General">
                  <c:v>2800</c:v>
                </c:pt>
                <c:pt idx="21">
                  <c:v>2700</c:v>
                </c:pt>
                <c:pt idx="22" formatCode="General">
                  <c:v>2700</c:v>
                </c:pt>
                <c:pt idx="23" formatCode="General">
                  <c:v>2500</c:v>
                </c:pt>
                <c:pt idx="24" formatCode="General">
                  <c:v>2500</c:v>
                </c:pt>
                <c:pt idx="25" formatCode="General">
                  <c:v>2500</c:v>
                </c:pt>
                <c:pt idx="26" formatCode="General">
                  <c:v>2500</c:v>
                </c:pt>
                <c:pt idx="27" formatCode="General">
                  <c:v>2500</c:v>
                </c:pt>
                <c:pt idx="28" formatCode="General">
                  <c:v>2500</c:v>
                </c:pt>
                <c:pt idx="29" formatCode="General">
                  <c:v>2500</c:v>
                </c:pt>
                <c:pt idx="30" formatCode="General">
                  <c:v>2500</c:v>
                </c:pt>
                <c:pt idx="31" formatCode="General">
                  <c:v>2200</c:v>
                </c:pt>
                <c:pt idx="32" formatCode="General">
                  <c:v>2180</c:v>
                </c:pt>
                <c:pt idx="33" formatCode="#,##0.00">
                  <c:v>2128.96</c:v>
                </c:pt>
                <c:pt idx="34" formatCode="General">
                  <c:v>2000</c:v>
                </c:pt>
                <c:pt idx="35" formatCode="General">
                  <c:v>2000</c:v>
                </c:pt>
                <c:pt idx="36" formatCode="General">
                  <c:v>2000</c:v>
                </c:pt>
                <c:pt idx="37" formatCode="General">
                  <c:v>2000</c:v>
                </c:pt>
                <c:pt idx="38" formatCode="General">
                  <c:v>2000</c:v>
                </c:pt>
                <c:pt idx="39" formatCode="General">
                  <c:v>2000</c:v>
                </c:pt>
                <c:pt idx="40" formatCode="General">
                  <c:v>2000</c:v>
                </c:pt>
                <c:pt idx="41" formatCode="General">
                  <c:v>2000</c:v>
                </c:pt>
                <c:pt idx="42" formatCode="General">
                  <c:v>2000</c:v>
                </c:pt>
                <c:pt idx="43" formatCode="General">
                  <c:v>2000</c:v>
                </c:pt>
                <c:pt idx="44" formatCode="General">
                  <c:v>2000</c:v>
                </c:pt>
                <c:pt idx="45" formatCode="General">
                  <c:v>2000</c:v>
                </c:pt>
                <c:pt idx="46" formatCode="General">
                  <c:v>2000</c:v>
                </c:pt>
                <c:pt idx="47" formatCode="General">
                  <c:v>2000</c:v>
                </c:pt>
                <c:pt idx="48" formatCode="General">
                  <c:v>2000</c:v>
                </c:pt>
                <c:pt idx="49" formatCode="General">
                  <c:v>2000</c:v>
                </c:pt>
                <c:pt idx="50" formatCode="General">
                  <c:v>2000</c:v>
                </c:pt>
                <c:pt idx="51" formatCode="General">
                  <c:v>2000</c:v>
                </c:pt>
                <c:pt idx="52" formatCode="General">
                  <c:v>2000</c:v>
                </c:pt>
                <c:pt idx="53" formatCode="General">
                  <c:v>2000</c:v>
                </c:pt>
                <c:pt idx="54" formatCode="General">
                  <c:v>2000</c:v>
                </c:pt>
                <c:pt idx="55" formatCode="General">
                  <c:v>1900</c:v>
                </c:pt>
                <c:pt idx="56" formatCode="General">
                  <c:v>1900</c:v>
                </c:pt>
                <c:pt idx="57">
                  <c:v>1800</c:v>
                </c:pt>
                <c:pt idx="58" formatCode="General">
                  <c:v>1800</c:v>
                </c:pt>
                <c:pt idx="59" formatCode="General">
                  <c:v>1800</c:v>
                </c:pt>
                <c:pt idx="60" formatCode="General">
                  <c:v>1800</c:v>
                </c:pt>
                <c:pt idx="61" formatCode="General">
                  <c:v>1800</c:v>
                </c:pt>
                <c:pt idx="62" formatCode="General">
                  <c:v>1750</c:v>
                </c:pt>
                <c:pt idx="63" formatCode="General">
                  <c:v>1750</c:v>
                </c:pt>
                <c:pt idx="64" formatCode="General">
                  <c:v>1700</c:v>
                </c:pt>
                <c:pt idx="65" formatCode="General">
                  <c:v>1676</c:v>
                </c:pt>
                <c:pt idx="66">
                  <c:v>1632</c:v>
                </c:pt>
                <c:pt idx="67" formatCode="General">
                  <c:v>1630</c:v>
                </c:pt>
                <c:pt idx="68">
                  <c:v>1600</c:v>
                </c:pt>
                <c:pt idx="69" formatCode="General">
                  <c:v>1600</c:v>
                </c:pt>
                <c:pt idx="70" formatCode="General">
                  <c:v>1583</c:v>
                </c:pt>
                <c:pt idx="71" formatCode="General">
                  <c:v>1500</c:v>
                </c:pt>
                <c:pt idx="72" formatCode="General">
                  <c:v>1500</c:v>
                </c:pt>
                <c:pt idx="73" formatCode="General">
                  <c:v>1500</c:v>
                </c:pt>
                <c:pt idx="74" formatCode="General">
                  <c:v>1500</c:v>
                </c:pt>
                <c:pt idx="75" formatCode="General">
                  <c:v>1500</c:v>
                </c:pt>
                <c:pt idx="76" formatCode="General">
                  <c:v>1500</c:v>
                </c:pt>
                <c:pt idx="77" formatCode="General">
                  <c:v>1500</c:v>
                </c:pt>
                <c:pt idx="78" formatCode="General">
                  <c:v>1500</c:v>
                </c:pt>
                <c:pt idx="79" formatCode="General">
                  <c:v>1500</c:v>
                </c:pt>
                <c:pt idx="80" formatCode="General">
                  <c:v>1400</c:v>
                </c:pt>
                <c:pt idx="81" formatCode="General">
                  <c:v>1400</c:v>
                </c:pt>
                <c:pt idx="82" formatCode="General">
                  <c:v>1400</c:v>
                </c:pt>
                <c:pt idx="83" formatCode="General">
                  <c:v>1300</c:v>
                </c:pt>
                <c:pt idx="84" formatCode="General">
                  <c:v>1300</c:v>
                </c:pt>
                <c:pt idx="85" formatCode="General">
                  <c:v>1300</c:v>
                </c:pt>
                <c:pt idx="86">
                  <c:v>1300</c:v>
                </c:pt>
                <c:pt idx="87" formatCode="General">
                  <c:v>1300</c:v>
                </c:pt>
                <c:pt idx="88" formatCode="General">
                  <c:v>1300</c:v>
                </c:pt>
                <c:pt idx="89" formatCode="General">
                  <c:v>1300</c:v>
                </c:pt>
                <c:pt idx="90">
                  <c:v>1200</c:v>
                </c:pt>
                <c:pt idx="91" formatCode="General">
                  <c:v>1200</c:v>
                </c:pt>
                <c:pt idx="92" formatCode="General">
                  <c:v>1200</c:v>
                </c:pt>
                <c:pt idx="93" formatCode="General">
                  <c:v>1200</c:v>
                </c:pt>
                <c:pt idx="94">
                  <c:v>1200</c:v>
                </c:pt>
                <c:pt idx="95" formatCode="General">
                  <c:v>1100</c:v>
                </c:pt>
                <c:pt idx="96" formatCode="General">
                  <c:v>1100</c:v>
                </c:pt>
                <c:pt idx="97" formatCode="General">
                  <c:v>1087</c:v>
                </c:pt>
                <c:pt idx="98" formatCode="General">
                  <c:v>1063</c:v>
                </c:pt>
                <c:pt idx="99" formatCode="General">
                  <c:v>1024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 formatCode="General">
                  <c:v>1000</c:v>
                </c:pt>
                <c:pt idx="104">
                  <c:v>1000</c:v>
                </c:pt>
                <c:pt idx="105">
                  <c:v>1000</c:v>
                </c:pt>
                <c:pt idx="106" formatCode="General">
                  <c:v>1000</c:v>
                </c:pt>
                <c:pt idx="107" formatCode="General">
                  <c:v>1000</c:v>
                </c:pt>
                <c:pt idx="108" formatCode="General">
                  <c:v>1000</c:v>
                </c:pt>
                <c:pt idx="109" formatCode="General">
                  <c:v>1000</c:v>
                </c:pt>
                <c:pt idx="110" formatCode="General">
                  <c:v>1000</c:v>
                </c:pt>
                <c:pt idx="111" formatCode="General">
                  <c:v>1000</c:v>
                </c:pt>
                <c:pt idx="112" formatCode="General">
                  <c:v>1000</c:v>
                </c:pt>
                <c:pt idx="113" formatCode="General">
                  <c:v>1000</c:v>
                </c:pt>
                <c:pt idx="114" formatCode="General">
                  <c:v>1000</c:v>
                </c:pt>
                <c:pt idx="115" formatCode="General">
                  <c:v>1000</c:v>
                </c:pt>
                <c:pt idx="116" formatCode="General">
                  <c:v>1000</c:v>
                </c:pt>
                <c:pt idx="117" formatCode="General">
                  <c:v>1000</c:v>
                </c:pt>
                <c:pt idx="118" formatCode="General">
                  <c:v>1000</c:v>
                </c:pt>
                <c:pt idx="119" formatCode="General">
                  <c:v>1000</c:v>
                </c:pt>
                <c:pt idx="120" formatCode="General">
                  <c:v>1000</c:v>
                </c:pt>
                <c:pt idx="121" formatCode="General">
                  <c:v>1000</c:v>
                </c:pt>
                <c:pt idx="122" formatCode="General">
                  <c:v>1000</c:v>
                </c:pt>
                <c:pt idx="123" formatCode="General">
                  <c:v>1000</c:v>
                </c:pt>
                <c:pt idx="124" formatCode="General">
                  <c:v>1000</c:v>
                </c:pt>
                <c:pt idx="125" formatCode="General">
                  <c:v>1000</c:v>
                </c:pt>
                <c:pt idx="126" formatCode="General">
                  <c:v>1000</c:v>
                </c:pt>
                <c:pt idx="127" formatCode="General">
                  <c:v>920</c:v>
                </c:pt>
                <c:pt idx="128" formatCode="General">
                  <c:v>920</c:v>
                </c:pt>
                <c:pt idx="129" formatCode="General">
                  <c:v>900</c:v>
                </c:pt>
                <c:pt idx="130" formatCode="General">
                  <c:v>816</c:v>
                </c:pt>
                <c:pt idx="131" formatCode="General">
                  <c:v>800</c:v>
                </c:pt>
                <c:pt idx="132" formatCode="General">
                  <c:v>800</c:v>
                </c:pt>
                <c:pt idx="133" formatCode="General">
                  <c:v>800</c:v>
                </c:pt>
                <c:pt idx="134" formatCode="General">
                  <c:v>800</c:v>
                </c:pt>
                <c:pt idx="135" formatCode="General">
                  <c:v>800</c:v>
                </c:pt>
                <c:pt idx="136" formatCode="General">
                  <c:v>800</c:v>
                </c:pt>
                <c:pt idx="137" formatCode="General">
                  <c:v>800</c:v>
                </c:pt>
                <c:pt idx="138" formatCode="General">
                  <c:v>800</c:v>
                </c:pt>
                <c:pt idx="139" formatCode="General">
                  <c:v>750</c:v>
                </c:pt>
                <c:pt idx="140" formatCode="General">
                  <c:v>750</c:v>
                </c:pt>
                <c:pt idx="141" formatCode="General">
                  <c:v>750</c:v>
                </c:pt>
                <c:pt idx="142" formatCode="General">
                  <c:v>720</c:v>
                </c:pt>
                <c:pt idx="143" formatCode="General">
                  <c:v>700</c:v>
                </c:pt>
                <c:pt idx="144" formatCode="General">
                  <c:v>700</c:v>
                </c:pt>
                <c:pt idx="145" formatCode="General">
                  <c:v>700</c:v>
                </c:pt>
                <c:pt idx="146" formatCode="General">
                  <c:v>700</c:v>
                </c:pt>
                <c:pt idx="147" formatCode="General">
                  <c:v>650</c:v>
                </c:pt>
                <c:pt idx="148" formatCode="General">
                  <c:v>600</c:v>
                </c:pt>
                <c:pt idx="149" formatCode="General">
                  <c:v>600</c:v>
                </c:pt>
                <c:pt idx="150" formatCode="General">
                  <c:v>600</c:v>
                </c:pt>
                <c:pt idx="151" formatCode="General">
                  <c:v>600</c:v>
                </c:pt>
                <c:pt idx="152" formatCode="General">
                  <c:v>600</c:v>
                </c:pt>
                <c:pt idx="153" formatCode="General">
                  <c:v>600</c:v>
                </c:pt>
                <c:pt idx="154" formatCode="General">
                  <c:v>583</c:v>
                </c:pt>
                <c:pt idx="155" formatCode="General">
                  <c:v>540</c:v>
                </c:pt>
                <c:pt idx="156" formatCode="General">
                  <c:v>528</c:v>
                </c:pt>
                <c:pt idx="157" formatCode="General">
                  <c:v>500</c:v>
                </c:pt>
                <c:pt idx="158" formatCode="General">
                  <c:v>500</c:v>
                </c:pt>
                <c:pt idx="159" formatCode="General">
                  <c:v>500</c:v>
                </c:pt>
                <c:pt idx="160" formatCode="General">
                  <c:v>500</c:v>
                </c:pt>
                <c:pt idx="161" formatCode="General">
                  <c:v>500</c:v>
                </c:pt>
                <c:pt idx="162" formatCode="General">
                  <c:v>500</c:v>
                </c:pt>
                <c:pt idx="163" formatCode="General">
                  <c:v>500</c:v>
                </c:pt>
                <c:pt idx="164" formatCode="General">
                  <c:v>500</c:v>
                </c:pt>
                <c:pt idx="165" formatCode="General">
                  <c:v>500</c:v>
                </c:pt>
                <c:pt idx="166" formatCode="General">
                  <c:v>500</c:v>
                </c:pt>
                <c:pt idx="167" formatCode="General">
                  <c:v>500</c:v>
                </c:pt>
                <c:pt idx="168" formatCode="General">
                  <c:v>500</c:v>
                </c:pt>
                <c:pt idx="169" formatCode="General">
                  <c:v>500</c:v>
                </c:pt>
                <c:pt idx="170" formatCode="General">
                  <c:v>500</c:v>
                </c:pt>
                <c:pt idx="171" formatCode="General">
                  <c:v>500</c:v>
                </c:pt>
                <c:pt idx="172" formatCode="General">
                  <c:v>500</c:v>
                </c:pt>
                <c:pt idx="173" formatCode="General">
                  <c:v>500</c:v>
                </c:pt>
                <c:pt idx="174" formatCode="General">
                  <c:v>460</c:v>
                </c:pt>
                <c:pt idx="175" formatCode="General">
                  <c:v>450</c:v>
                </c:pt>
                <c:pt idx="176" formatCode="General">
                  <c:v>450</c:v>
                </c:pt>
                <c:pt idx="177" formatCode="General">
                  <c:v>450</c:v>
                </c:pt>
                <c:pt idx="178" formatCode="General">
                  <c:v>450</c:v>
                </c:pt>
                <c:pt idx="179" formatCode="General">
                  <c:v>400</c:v>
                </c:pt>
                <c:pt idx="180" formatCode="General">
                  <c:v>400</c:v>
                </c:pt>
                <c:pt idx="181" formatCode="General">
                  <c:v>400</c:v>
                </c:pt>
                <c:pt idx="182" formatCode="General">
                  <c:v>400</c:v>
                </c:pt>
                <c:pt idx="183" formatCode="General">
                  <c:v>375</c:v>
                </c:pt>
                <c:pt idx="184" formatCode="General">
                  <c:v>350</c:v>
                </c:pt>
                <c:pt idx="185" formatCode="General">
                  <c:v>350</c:v>
                </c:pt>
                <c:pt idx="186" formatCode="General">
                  <c:v>300</c:v>
                </c:pt>
                <c:pt idx="187" formatCode="General">
                  <c:v>300</c:v>
                </c:pt>
                <c:pt idx="188" formatCode="General">
                  <c:v>300</c:v>
                </c:pt>
                <c:pt idx="189" formatCode="General">
                  <c:v>300</c:v>
                </c:pt>
                <c:pt idx="190" formatCode="General">
                  <c:v>300</c:v>
                </c:pt>
                <c:pt idx="191" formatCode="General">
                  <c:v>280</c:v>
                </c:pt>
                <c:pt idx="192" formatCode="General">
                  <c:v>250</c:v>
                </c:pt>
                <c:pt idx="193" formatCode="General">
                  <c:v>250</c:v>
                </c:pt>
                <c:pt idx="194" formatCode="General">
                  <c:v>250</c:v>
                </c:pt>
                <c:pt idx="195" formatCode="General">
                  <c:v>250</c:v>
                </c:pt>
                <c:pt idx="196" formatCode="General">
                  <c:v>200</c:v>
                </c:pt>
                <c:pt idx="197" formatCode="General">
                  <c:v>200</c:v>
                </c:pt>
                <c:pt idx="198" formatCode="General">
                  <c:v>200</c:v>
                </c:pt>
                <c:pt idx="199" formatCode="General">
                  <c:v>200</c:v>
                </c:pt>
                <c:pt idx="200" formatCode="General">
                  <c:v>200</c:v>
                </c:pt>
                <c:pt idx="201" formatCode="General">
                  <c:v>200</c:v>
                </c:pt>
                <c:pt idx="202" formatCode="General">
                  <c:v>200</c:v>
                </c:pt>
                <c:pt idx="203" formatCode="General">
                  <c:v>200</c:v>
                </c:pt>
                <c:pt idx="204" formatCode="General">
                  <c:v>200</c:v>
                </c:pt>
                <c:pt idx="205" formatCode="General">
                  <c:v>200</c:v>
                </c:pt>
                <c:pt idx="206" formatCode="General">
                  <c:v>200</c:v>
                </c:pt>
                <c:pt idx="207" formatCode="General">
                  <c:v>100</c:v>
                </c:pt>
                <c:pt idx="208" formatCode="General">
                  <c:v>100</c:v>
                </c:pt>
                <c:pt idx="209" formatCode="General">
                  <c:v>100</c:v>
                </c:pt>
                <c:pt idx="210" formatCode="General">
                  <c:v>100</c:v>
                </c:pt>
                <c:pt idx="211" formatCode="General">
                  <c:v>60</c:v>
                </c:pt>
                <c:pt idx="212" formatCode="General">
                  <c:v>50</c:v>
                </c:pt>
                <c:pt idx="213" formatCode="General">
                  <c:v>50</c:v>
                </c:pt>
                <c:pt idx="214" formatCode="General">
                  <c:v>35</c:v>
                </c:pt>
              </c:numCache>
            </c:numRef>
          </c:xVal>
          <c:yVal>
            <c:numRef>
              <c:f>'Class Budget Data'!$D$2:$D$216</c:f>
              <c:numCache>
                <c:formatCode>General</c:formatCode>
                <c:ptCount val="215"/>
                <c:pt idx="0">
                  <c:v>983.44801064707815</c:v>
                </c:pt>
                <c:pt idx="1">
                  <c:v>983.32313552420317</c:v>
                </c:pt>
                <c:pt idx="2">
                  <c:v>983.32313552420317</c:v>
                </c:pt>
                <c:pt idx="3">
                  <c:v>983.32313552420317</c:v>
                </c:pt>
                <c:pt idx="4">
                  <c:v>983.32313552420317</c:v>
                </c:pt>
                <c:pt idx="5">
                  <c:v>983.32313552420317</c:v>
                </c:pt>
                <c:pt idx="6">
                  <c:v>983.32313552420317</c:v>
                </c:pt>
                <c:pt idx="7">
                  <c:v>983.32313552420317</c:v>
                </c:pt>
                <c:pt idx="8">
                  <c:v>980.20125745232997</c:v>
                </c:pt>
                <c:pt idx="9">
                  <c:v>978.26569304776854</c:v>
                </c:pt>
                <c:pt idx="10">
                  <c:v>977.70375499483134</c:v>
                </c:pt>
                <c:pt idx="11">
                  <c:v>977.07937938045666</c:v>
                </c:pt>
                <c:pt idx="12">
                  <c:v>977.07937938045666</c:v>
                </c:pt>
                <c:pt idx="13">
                  <c:v>977.07937938045666</c:v>
                </c:pt>
                <c:pt idx="14">
                  <c:v>977.07937938045666</c:v>
                </c:pt>
                <c:pt idx="15">
                  <c:v>977.07937938045666</c:v>
                </c:pt>
                <c:pt idx="16">
                  <c:v>977.07937938045666</c:v>
                </c:pt>
                <c:pt idx="17">
                  <c:v>977.07937938045666</c:v>
                </c:pt>
                <c:pt idx="18">
                  <c:v>977.07937938045666</c:v>
                </c:pt>
                <c:pt idx="19">
                  <c:v>977.07937938045666</c:v>
                </c:pt>
                <c:pt idx="20">
                  <c:v>975.83062815170729</c:v>
                </c:pt>
                <c:pt idx="21">
                  <c:v>975.2062525373326</c:v>
                </c:pt>
                <c:pt idx="22">
                  <c:v>975.2062525373326</c:v>
                </c:pt>
                <c:pt idx="23">
                  <c:v>973.95750130858335</c:v>
                </c:pt>
                <c:pt idx="24">
                  <c:v>973.95750130858335</c:v>
                </c:pt>
                <c:pt idx="25">
                  <c:v>973.95750130858335</c:v>
                </c:pt>
                <c:pt idx="26">
                  <c:v>973.95750130858335</c:v>
                </c:pt>
                <c:pt idx="27">
                  <c:v>973.95750130858335</c:v>
                </c:pt>
                <c:pt idx="28">
                  <c:v>973.95750130858335</c:v>
                </c:pt>
                <c:pt idx="29">
                  <c:v>973.95750130858335</c:v>
                </c:pt>
                <c:pt idx="30">
                  <c:v>973.95750130858335</c:v>
                </c:pt>
                <c:pt idx="31">
                  <c:v>972.0843744654594</c:v>
                </c:pt>
                <c:pt idx="32">
                  <c:v>971.95949934258442</c:v>
                </c:pt>
                <c:pt idx="33">
                  <c:v>971.64081802900762</c:v>
                </c:pt>
                <c:pt idx="34">
                  <c:v>970.83562323671003</c:v>
                </c:pt>
                <c:pt idx="35">
                  <c:v>970.83562323671003</c:v>
                </c:pt>
                <c:pt idx="36">
                  <c:v>970.83562323671003</c:v>
                </c:pt>
                <c:pt idx="37">
                  <c:v>970.83562323671003</c:v>
                </c:pt>
                <c:pt idx="38">
                  <c:v>970.83562323671003</c:v>
                </c:pt>
                <c:pt idx="39">
                  <c:v>970.83562323671003</c:v>
                </c:pt>
                <c:pt idx="40">
                  <c:v>970.83562323671003</c:v>
                </c:pt>
                <c:pt idx="41">
                  <c:v>970.83562323671003</c:v>
                </c:pt>
                <c:pt idx="42">
                  <c:v>970.83562323671003</c:v>
                </c:pt>
                <c:pt idx="43">
                  <c:v>970.83562323671003</c:v>
                </c:pt>
                <c:pt idx="44">
                  <c:v>970.83562323671003</c:v>
                </c:pt>
                <c:pt idx="45">
                  <c:v>970.83562323671003</c:v>
                </c:pt>
                <c:pt idx="46">
                  <c:v>970.83562323671003</c:v>
                </c:pt>
                <c:pt idx="47">
                  <c:v>970.83562323671003</c:v>
                </c:pt>
                <c:pt idx="48">
                  <c:v>970.83562323671003</c:v>
                </c:pt>
                <c:pt idx="49">
                  <c:v>970.83562323671003</c:v>
                </c:pt>
                <c:pt idx="50">
                  <c:v>970.83562323671003</c:v>
                </c:pt>
                <c:pt idx="51">
                  <c:v>970.83562323671003</c:v>
                </c:pt>
                <c:pt idx="52">
                  <c:v>970.83562323671003</c:v>
                </c:pt>
                <c:pt idx="53">
                  <c:v>970.83562323671003</c:v>
                </c:pt>
                <c:pt idx="54">
                  <c:v>970.83562323671003</c:v>
                </c:pt>
                <c:pt idx="55">
                  <c:v>970.21124762233535</c:v>
                </c:pt>
                <c:pt idx="56">
                  <c:v>970.21124762233535</c:v>
                </c:pt>
                <c:pt idx="57">
                  <c:v>969.58687200796078</c:v>
                </c:pt>
                <c:pt idx="58">
                  <c:v>969.58687200796078</c:v>
                </c:pt>
                <c:pt idx="59">
                  <c:v>969.58687200796078</c:v>
                </c:pt>
                <c:pt idx="60">
                  <c:v>969.58687200796078</c:v>
                </c:pt>
                <c:pt idx="61">
                  <c:v>969.58687200796078</c:v>
                </c:pt>
                <c:pt idx="62">
                  <c:v>969.27468420077344</c:v>
                </c:pt>
                <c:pt idx="63">
                  <c:v>969.27468420077344</c:v>
                </c:pt>
                <c:pt idx="64">
                  <c:v>968.96249639358609</c:v>
                </c:pt>
                <c:pt idx="65">
                  <c:v>968.81264624613618</c:v>
                </c:pt>
                <c:pt idx="66">
                  <c:v>968.53792097581129</c:v>
                </c:pt>
                <c:pt idx="67">
                  <c:v>968.52543346352377</c:v>
                </c:pt>
                <c:pt idx="68">
                  <c:v>968.33812077921141</c:v>
                </c:pt>
                <c:pt idx="69">
                  <c:v>968.33812077921141</c:v>
                </c:pt>
                <c:pt idx="70">
                  <c:v>968.23197692476776</c:v>
                </c:pt>
                <c:pt idx="71">
                  <c:v>967.71374516483672</c:v>
                </c:pt>
                <c:pt idx="72">
                  <c:v>967.71374516483672</c:v>
                </c:pt>
                <c:pt idx="73">
                  <c:v>967.71374516483672</c:v>
                </c:pt>
                <c:pt idx="74">
                  <c:v>967.71374516483672</c:v>
                </c:pt>
                <c:pt idx="75">
                  <c:v>967.71374516483672</c:v>
                </c:pt>
                <c:pt idx="76">
                  <c:v>967.71374516483672</c:v>
                </c:pt>
                <c:pt idx="77">
                  <c:v>967.71374516483672</c:v>
                </c:pt>
                <c:pt idx="78">
                  <c:v>967.71374516483672</c:v>
                </c:pt>
                <c:pt idx="79">
                  <c:v>967.71374516483672</c:v>
                </c:pt>
                <c:pt idx="80">
                  <c:v>967.08936955046215</c:v>
                </c:pt>
                <c:pt idx="81">
                  <c:v>967.08936955046215</c:v>
                </c:pt>
                <c:pt idx="82">
                  <c:v>967.08936955046215</c:v>
                </c:pt>
                <c:pt idx="83">
                  <c:v>966.46499393608747</c:v>
                </c:pt>
                <c:pt idx="84">
                  <c:v>966.46499393608747</c:v>
                </c:pt>
                <c:pt idx="85">
                  <c:v>966.46499393608747</c:v>
                </c:pt>
                <c:pt idx="86">
                  <c:v>966.46499393608747</c:v>
                </c:pt>
                <c:pt idx="87">
                  <c:v>966.46499393608747</c:v>
                </c:pt>
                <c:pt idx="88">
                  <c:v>966.46499393608747</c:v>
                </c:pt>
                <c:pt idx="89">
                  <c:v>966.46499393608747</c:v>
                </c:pt>
                <c:pt idx="90">
                  <c:v>965.84061832171278</c:v>
                </c:pt>
                <c:pt idx="91">
                  <c:v>965.84061832171278</c:v>
                </c:pt>
                <c:pt idx="92">
                  <c:v>965.84061832171278</c:v>
                </c:pt>
                <c:pt idx="93">
                  <c:v>965.84061832171278</c:v>
                </c:pt>
                <c:pt idx="94">
                  <c:v>965.84061832171278</c:v>
                </c:pt>
                <c:pt idx="95">
                  <c:v>965.2162427073381</c:v>
                </c:pt>
                <c:pt idx="96">
                  <c:v>965.2162427073381</c:v>
                </c:pt>
                <c:pt idx="97">
                  <c:v>965.13507387746938</c:v>
                </c:pt>
                <c:pt idx="98">
                  <c:v>964.98522373001947</c:v>
                </c:pt>
                <c:pt idx="99">
                  <c:v>964.74171724041344</c:v>
                </c:pt>
                <c:pt idx="100">
                  <c:v>964.59186709296353</c:v>
                </c:pt>
                <c:pt idx="101">
                  <c:v>964.59186709296353</c:v>
                </c:pt>
                <c:pt idx="102">
                  <c:v>964.59186709296353</c:v>
                </c:pt>
                <c:pt idx="103">
                  <c:v>964.59186709296353</c:v>
                </c:pt>
                <c:pt idx="104">
                  <c:v>964.59186709296353</c:v>
                </c:pt>
                <c:pt idx="105">
                  <c:v>964.59186709296353</c:v>
                </c:pt>
                <c:pt idx="106">
                  <c:v>964.59186709296353</c:v>
                </c:pt>
                <c:pt idx="107">
                  <c:v>964.59186709296353</c:v>
                </c:pt>
                <c:pt idx="108">
                  <c:v>964.59186709296353</c:v>
                </c:pt>
                <c:pt idx="109">
                  <c:v>964.59186709296353</c:v>
                </c:pt>
                <c:pt idx="110">
                  <c:v>964.59186709296353</c:v>
                </c:pt>
                <c:pt idx="111">
                  <c:v>964.59186709296353</c:v>
                </c:pt>
                <c:pt idx="112">
                  <c:v>964.59186709296353</c:v>
                </c:pt>
                <c:pt idx="113">
                  <c:v>964.59186709296353</c:v>
                </c:pt>
                <c:pt idx="114">
                  <c:v>964.59186709296353</c:v>
                </c:pt>
                <c:pt idx="115">
                  <c:v>964.59186709296353</c:v>
                </c:pt>
                <c:pt idx="116">
                  <c:v>964.59186709296353</c:v>
                </c:pt>
                <c:pt idx="117">
                  <c:v>964.59186709296353</c:v>
                </c:pt>
                <c:pt idx="118">
                  <c:v>964.59186709296353</c:v>
                </c:pt>
                <c:pt idx="119">
                  <c:v>964.59186709296353</c:v>
                </c:pt>
                <c:pt idx="120">
                  <c:v>964.59186709296353</c:v>
                </c:pt>
                <c:pt idx="121">
                  <c:v>964.59186709296353</c:v>
                </c:pt>
                <c:pt idx="122">
                  <c:v>964.59186709296353</c:v>
                </c:pt>
                <c:pt idx="123">
                  <c:v>964.59186709296353</c:v>
                </c:pt>
                <c:pt idx="124">
                  <c:v>964.59186709296353</c:v>
                </c:pt>
                <c:pt idx="125">
                  <c:v>964.59186709296353</c:v>
                </c:pt>
                <c:pt idx="126">
                  <c:v>964.59186709296353</c:v>
                </c:pt>
                <c:pt idx="127">
                  <c:v>964.09236660146371</c:v>
                </c:pt>
                <c:pt idx="128">
                  <c:v>964.09236660146371</c:v>
                </c:pt>
                <c:pt idx="129">
                  <c:v>963.96749147858884</c:v>
                </c:pt>
                <c:pt idx="130">
                  <c:v>963.4430159625141</c:v>
                </c:pt>
                <c:pt idx="131">
                  <c:v>963.34311586421416</c:v>
                </c:pt>
                <c:pt idx="132">
                  <c:v>963.34311586421416</c:v>
                </c:pt>
                <c:pt idx="133">
                  <c:v>963.34311586421416</c:v>
                </c:pt>
                <c:pt idx="134">
                  <c:v>963.34311586421416</c:v>
                </c:pt>
                <c:pt idx="135">
                  <c:v>963.34311586421416</c:v>
                </c:pt>
                <c:pt idx="136">
                  <c:v>963.34311586421416</c:v>
                </c:pt>
                <c:pt idx="137">
                  <c:v>963.34311586421416</c:v>
                </c:pt>
                <c:pt idx="138">
                  <c:v>963.34311586421416</c:v>
                </c:pt>
                <c:pt idx="139">
                  <c:v>963.03092805702681</c:v>
                </c:pt>
                <c:pt idx="140">
                  <c:v>963.03092805702681</c:v>
                </c:pt>
                <c:pt idx="141">
                  <c:v>963.03092805702681</c:v>
                </c:pt>
                <c:pt idx="142">
                  <c:v>962.84361537271445</c:v>
                </c:pt>
                <c:pt idx="143">
                  <c:v>962.71874024983947</c:v>
                </c:pt>
                <c:pt idx="144">
                  <c:v>962.71874024983947</c:v>
                </c:pt>
                <c:pt idx="145">
                  <c:v>962.71874024983947</c:v>
                </c:pt>
                <c:pt idx="146">
                  <c:v>962.71874024983947</c:v>
                </c:pt>
                <c:pt idx="147">
                  <c:v>962.40655244265213</c:v>
                </c:pt>
                <c:pt idx="148">
                  <c:v>962.0943646354649</c:v>
                </c:pt>
                <c:pt idx="149">
                  <c:v>962.0943646354649</c:v>
                </c:pt>
                <c:pt idx="150">
                  <c:v>962.0943646354649</c:v>
                </c:pt>
                <c:pt idx="151">
                  <c:v>962.0943646354649</c:v>
                </c:pt>
                <c:pt idx="152">
                  <c:v>962.0943646354649</c:v>
                </c:pt>
                <c:pt idx="153">
                  <c:v>962.0943646354649</c:v>
                </c:pt>
                <c:pt idx="154">
                  <c:v>961.98822078102114</c:v>
                </c:pt>
                <c:pt idx="155">
                  <c:v>961.71973926684007</c:v>
                </c:pt>
                <c:pt idx="156">
                  <c:v>961.64481419311505</c:v>
                </c:pt>
                <c:pt idx="157">
                  <c:v>961.46998902109021</c:v>
                </c:pt>
                <c:pt idx="158">
                  <c:v>961.46998902109021</c:v>
                </c:pt>
                <c:pt idx="159">
                  <c:v>961.46998902109021</c:v>
                </c:pt>
                <c:pt idx="160">
                  <c:v>961.46998902109021</c:v>
                </c:pt>
                <c:pt idx="161">
                  <c:v>961.46998902109021</c:v>
                </c:pt>
                <c:pt idx="162">
                  <c:v>961.46998902109021</c:v>
                </c:pt>
                <c:pt idx="163">
                  <c:v>961.46998902109021</c:v>
                </c:pt>
                <c:pt idx="164">
                  <c:v>961.46998902109021</c:v>
                </c:pt>
                <c:pt idx="165">
                  <c:v>961.46998902109021</c:v>
                </c:pt>
                <c:pt idx="166">
                  <c:v>961.46998902109021</c:v>
                </c:pt>
                <c:pt idx="167">
                  <c:v>961.46998902109021</c:v>
                </c:pt>
                <c:pt idx="168">
                  <c:v>961.46998902109021</c:v>
                </c:pt>
                <c:pt idx="169">
                  <c:v>961.46998902109021</c:v>
                </c:pt>
                <c:pt idx="170">
                  <c:v>961.46998902109021</c:v>
                </c:pt>
                <c:pt idx="171">
                  <c:v>961.46998902109021</c:v>
                </c:pt>
                <c:pt idx="172">
                  <c:v>961.46998902109021</c:v>
                </c:pt>
                <c:pt idx="173">
                  <c:v>961.46998902109021</c:v>
                </c:pt>
                <c:pt idx="174">
                  <c:v>961.22023877534036</c:v>
                </c:pt>
                <c:pt idx="175">
                  <c:v>961.15780121390287</c:v>
                </c:pt>
                <c:pt idx="176">
                  <c:v>961.15780121390287</c:v>
                </c:pt>
                <c:pt idx="177">
                  <c:v>961.15780121390287</c:v>
                </c:pt>
                <c:pt idx="178">
                  <c:v>961.15780121390287</c:v>
                </c:pt>
                <c:pt idx="179">
                  <c:v>960.84561340671553</c:v>
                </c:pt>
                <c:pt idx="180">
                  <c:v>960.84561340671553</c:v>
                </c:pt>
                <c:pt idx="181">
                  <c:v>960.84561340671553</c:v>
                </c:pt>
                <c:pt idx="182">
                  <c:v>960.84561340671553</c:v>
                </c:pt>
                <c:pt idx="183">
                  <c:v>960.68951950312191</c:v>
                </c:pt>
                <c:pt idx="184">
                  <c:v>960.53342559952819</c:v>
                </c:pt>
                <c:pt idx="185">
                  <c:v>960.53342559952819</c:v>
                </c:pt>
                <c:pt idx="186">
                  <c:v>960.22123779234084</c:v>
                </c:pt>
                <c:pt idx="187">
                  <c:v>960.22123779234084</c:v>
                </c:pt>
                <c:pt idx="188">
                  <c:v>960.22123779234084</c:v>
                </c:pt>
                <c:pt idx="189">
                  <c:v>960.22123779234084</c:v>
                </c:pt>
                <c:pt idx="190">
                  <c:v>960.22123779234084</c:v>
                </c:pt>
                <c:pt idx="191">
                  <c:v>960.09636266946598</c:v>
                </c:pt>
                <c:pt idx="192">
                  <c:v>959.9090499851535</c:v>
                </c:pt>
                <c:pt idx="193">
                  <c:v>959.9090499851535</c:v>
                </c:pt>
                <c:pt idx="194">
                  <c:v>959.9090499851535</c:v>
                </c:pt>
                <c:pt idx="195">
                  <c:v>959.9090499851535</c:v>
                </c:pt>
                <c:pt idx="196">
                  <c:v>959.59686217796627</c:v>
                </c:pt>
                <c:pt idx="197">
                  <c:v>959.59686217796627</c:v>
                </c:pt>
                <c:pt idx="198">
                  <c:v>959.59686217796627</c:v>
                </c:pt>
                <c:pt idx="199">
                  <c:v>959.59686217796627</c:v>
                </c:pt>
                <c:pt idx="200">
                  <c:v>959.59686217796627</c:v>
                </c:pt>
                <c:pt idx="201">
                  <c:v>959.59686217796627</c:v>
                </c:pt>
                <c:pt idx="202">
                  <c:v>959.59686217796627</c:v>
                </c:pt>
                <c:pt idx="203">
                  <c:v>959.59686217796627</c:v>
                </c:pt>
                <c:pt idx="204">
                  <c:v>959.59686217796627</c:v>
                </c:pt>
                <c:pt idx="205">
                  <c:v>959.59686217796627</c:v>
                </c:pt>
                <c:pt idx="206">
                  <c:v>959.59686217796627</c:v>
                </c:pt>
                <c:pt idx="207">
                  <c:v>958.97248656359159</c:v>
                </c:pt>
                <c:pt idx="208">
                  <c:v>958.97248656359159</c:v>
                </c:pt>
                <c:pt idx="209">
                  <c:v>958.97248656359159</c:v>
                </c:pt>
                <c:pt idx="210">
                  <c:v>958.97248656359159</c:v>
                </c:pt>
                <c:pt idx="211">
                  <c:v>958.72273631784174</c:v>
                </c:pt>
                <c:pt idx="212">
                  <c:v>958.66029875640425</c:v>
                </c:pt>
                <c:pt idx="213">
                  <c:v>958.66029875640425</c:v>
                </c:pt>
                <c:pt idx="214">
                  <c:v>958.56664241424801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BD-7648-865F-A5FDF4D45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597120"/>
        <c:axId val="1554221248"/>
      </c:scatterChart>
      <c:valAx>
        <c:axId val="15725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54221248"/>
        <c:crosses val="autoZero"/>
        <c:crossBetween val="midCat"/>
      </c:valAx>
      <c:valAx>
        <c:axId val="15542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7259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667816</xdr:colOff>
      <xdr:row>0</xdr:row>
      <xdr:rowOff>188406</xdr:rowOff>
    </xdr:from>
    <xdr:to>
      <xdr:col>17</xdr:col>
      <xdr:colOff>177799</xdr:colOff>
      <xdr:row>25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5E180B-50AF-9BF8-6FCC-B2D8FC73C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baseColWidth="10" defaultColWidth="8.83203125" defaultRowHeight="16" x14ac:dyDescent="0.2"/>
  <sheetData>
    <row r="1" spans="1:1" x14ac:dyDescent="0.2">
      <c r="A1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4"/>
  <sheetViews>
    <sheetView tabSelected="1" workbookViewId="0">
      <selection activeCell="P29" sqref="P29"/>
    </sheetView>
  </sheetViews>
  <sheetFormatPr baseColWidth="10" defaultColWidth="8.83203125" defaultRowHeight="16" x14ac:dyDescent="0.2"/>
  <cols>
    <col min="2" max="3" width="26.5" customWidth="1"/>
    <col min="4" max="4" width="31.5" customWidth="1"/>
    <col min="8" max="8" width="25.83203125" customWidth="1"/>
  </cols>
  <sheetData>
    <row r="1" spans="1:10" x14ac:dyDescent="0.2">
      <c r="A1" s="11" t="s">
        <v>33</v>
      </c>
      <c r="B1" t="s">
        <v>1</v>
      </c>
      <c r="C1" t="s">
        <v>2</v>
      </c>
      <c r="D1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10"/>
    </row>
    <row r="2" spans="1:10" x14ac:dyDescent="0.2">
      <c r="A2">
        <v>1</v>
      </c>
      <c r="B2">
        <v>4020</v>
      </c>
      <c r="C2">
        <v>1200</v>
      </c>
      <c r="D2">
        <f>$H$223+($H$222*B2)</f>
        <v>983.44801064707815</v>
      </c>
      <c r="F2" s="2">
        <f>B2-$B$218</f>
        <v>2722.0885581395351</v>
      </c>
      <c r="G2">
        <f>C2-$C$218</f>
        <v>233.54804651162783</v>
      </c>
      <c r="H2" s="12">
        <f>(F2)^2</f>
        <v>7409766.1183541724</v>
      </c>
      <c r="I2">
        <f>F2*G2</f>
        <v>635738.46518514212</v>
      </c>
    </row>
    <row r="3" spans="1:10" x14ac:dyDescent="0.2">
      <c r="A3">
        <v>2</v>
      </c>
      <c r="B3" s="2">
        <v>4000</v>
      </c>
      <c r="C3">
        <v>1200</v>
      </c>
      <c r="D3">
        <f t="shared" ref="D3:D66" si="0">$H$223+($H$222*B3)</f>
        <v>983.32313552420317</v>
      </c>
      <c r="F3" s="2">
        <f t="shared" ref="F3:F66" si="1">B3-$B$218</f>
        <v>2702.0885581395351</v>
      </c>
      <c r="G3">
        <f t="shared" ref="G3:G66" si="2">C3-$C$218</f>
        <v>233.54804651162783</v>
      </c>
      <c r="H3" s="12">
        <f t="shared" ref="H3:H66" si="3">(F3)^2</f>
        <v>7301282.576028592</v>
      </c>
      <c r="I3">
        <f t="shared" ref="I3:I66" si="4">F3*G3</f>
        <v>631067.50425490947</v>
      </c>
    </row>
    <row r="4" spans="1:10" x14ac:dyDescent="0.2">
      <c r="A4">
        <v>3</v>
      </c>
      <c r="B4" s="2">
        <v>4000</v>
      </c>
      <c r="C4">
        <v>1000</v>
      </c>
      <c r="D4">
        <f t="shared" si="0"/>
        <v>983.32313552420317</v>
      </c>
      <c r="F4" s="2">
        <f t="shared" si="1"/>
        <v>2702.0885581395351</v>
      </c>
      <c r="G4">
        <f t="shared" si="2"/>
        <v>33.548046511627831</v>
      </c>
      <c r="H4" s="12">
        <f t="shared" si="3"/>
        <v>7301282.576028592</v>
      </c>
      <c r="I4">
        <f t="shared" si="4"/>
        <v>90649.792627002505</v>
      </c>
    </row>
    <row r="5" spans="1:10" x14ac:dyDescent="0.2">
      <c r="A5">
        <v>4</v>
      </c>
      <c r="B5">
        <v>4000</v>
      </c>
      <c r="C5">
        <v>1200</v>
      </c>
      <c r="D5">
        <f t="shared" si="0"/>
        <v>983.32313552420317</v>
      </c>
      <c r="F5" s="2">
        <f t="shared" si="1"/>
        <v>2702.0885581395351</v>
      </c>
      <c r="G5">
        <f t="shared" si="2"/>
        <v>233.54804651162783</v>
      </c>
      <c r="H5" s="12">
        <f t="shared" si="3"/>
        <v>7301282.576028592</v>
      </c>
      <c r="I5">
        <f t="shared" si="4"/>
        <v>631067.50425490947</v>
      </c>
    </row>
    <row r="6" spans="1:10" x14ac:dyDescent="0.2">
      <c r="A6">
        <v>5</v>
      </c>
      <c r="B6">
        <v>4000</v>
      </c>
      <c r="C6">
        <v>1100</v>
      </c>
      <c r="D6">
        <f t="shared" si="0"/>
        <v>983.32313552420317</v>
      </c>
      <c r="F6" s="2">
        <f t="shared" si="1"/>
        <v>2702.0885581395351</v>
      </c>
      <c r="G6">
        <f t="shared" si="2"/>
        <v>133.54804651162783</v>
      </c>
      <c r="H6" s="12">
        <f t="shared" si="3"/>
        <v>7301282.576028592</v>
      </c>
      <c r="I6">
        <f t="shared" si="4"/>
        <v>360858.64844095602</v>
      </c>
    </row>
    <row r="7" spans="1:10" x14ac:dyDescent="0.2">
      <c r="A7">
        <v>6</v>
      </c>
      <c r="B7">
        <v>4000</v>
      </c>
      <c r="C7">
        <v>1200</v>
      </c>
      <c r="D7">
        <f t="shared" si="0"/>
        <v>983.32313552420317</v>
      </c>
      <c r="F7" s="2">
        <f t="shared" si="1"/>
        <v>2702.0885581395351</v>
      </c>
      <c r="G7">
        <f t="shared" si="2"/>
        <v>233.54804651162783</v>
      </c>
      <c r="H7" s="12">
        <f t="shared" si="3"/>
        <v>7301282.576028592</v>
      </c>
      <c r="I7">
        <f t="shared" si="4"/>
        <v>631067.50425490947</v>
      </c>
    </row>
    <row r="8" spans="1:10" x14ac:dyDescent="0.2">
      <c r="A8">
        <v>7</v>
      </c>
      <c r="B8">
        <v>4000</v>
      </c>
      <c r="C8">
        <v>850</v>
      </c>
      <c r="D8">
        <f t="shared" si="0"/>
        <v>983.32313552420317</v>
      </c>
      <c r="F8" s="2">
        <f t="shared" si="1"/>
        <v>2702.0885581395351</v>
      </c>
      <c r="G8">
        <f t="shared" si="2"/>
        <v>-116.45195348837217</v>
      </c>
      <c r="H8" s="12">
        <f t="shared" si="3"/>
        <v>7301282.576028592</v>
      </c>
      <c r="I8">
        <f t="shared" si="4"/>
        <v>-314663.49109392776</v>
      </c>
    </row>
    <row r="9" spans="1:10" x14ac:dyDescent="0.2">
      <c r="A9">
        <v>8</v>
      </c>
      <c r="B9">
        <v>4000</v>
      </c>
      <c r="C9">
        <v>750</v>
      </c>
      <c r="D9">
        <f t="shared" si="0"/>
        <v>983.32313552420317</v>
      </c>
      <c r="F9" s="2">
        <f t="shared" si="1"/>
        <v>2702.0885581395351</v>
      </c>
      <c r="G9">
        <f t="shared" si="2"/>
        <v>-216.45195348837217</v>
      </c>
      <c r="H9" s="12">
        <f t="shared" si="3"/>
        <v>7301282.576028592</v>
      </c>
      <c r="I9">
        <f t="shared" si="4"/>
        <v>-584872.3469078812</v>
      </c>
    </row>
    <row r="10" spans="1:10" x14ac:dyDescent="0.2">
      <c r="A10">
        <v>9</v>
      </c>
      <c r="B10">
        <v>3500</v>
      </c>
      <c r="C10">
        <v>500</v>
      </c>
      <c r="D10">
        <f t="shared" si="0"/>
        <v>980.20125745232997</v>
      </c>
      <c r="F10" s="2">
        <f t="shared" si="1"/>
        <v>2202.0885581395351</v>
      </c>
      <c r="G10">
        <f t="shared" si="2"/>
        <v>-466.45195348837217</v>
      </c>
      <c r="H10" s="12">
        <f t="shared" si="3"/>
        <v>4849194.0178890564</v>
      </c>
      <c r="I10">
        <f t="shared" si="4"/>
        <v>-1027168.509698579</v>
      </c>
    </row>
    <row r="11" spans="1:10" x14ac:dyDescent="0.2">
      <c r="A11">
        <v>10</v>
      </c>
      <c r="B11">
        <v>3190</v>
      </c>
      <c r="C11">
        <v>1400</v>
      </c>
      <c r="D11">
        <f t="shared" si="0"/>
        <v>978.26569304776854</v>
      </c>
      <c r="F11" s="2">
        <f t="shared" si="1"/>
        <v>1892.0885581395348</v>
      </c>
      <c r="G11">
        <f t="shared" si="2"/>
        <v>433.54804651162783</v>
      </c>
      <c r="H11" s="12">
        <f t="shared" si="3"/>
        <v>3579999.1118425438</v>
      </c>
      <c r="I11">
        <f t="shared" si="4"/>
        <v>820311.29820839793</v>
      </c>
    </row>
    <row r="12" spans="1:10" x14ac:dyDescent="0.2">
      <c r="A12">
        <v>11</v>
      </c>
      <c r="B12">
        <v>3100</v>
      </c>
      <c r="C12">
        <v>390</v>
      </c>
      <c r="D12">
        <f t="shared" si="0"/>
        <v>977.70375499483134</v>
      </c>
      <c r="F12" s="2">
        <f t="shared" si="1"/>
        <v>1802.0885581395348</v>
      </c>
      <c r="G12">
        <f t="shared" si="2"/>
        <v>-576.45195348837217</v>
      </c>
      <c r="H12" s="12">
        <f t="shared" si="3"/>
        <v>3247523.1713774274</v>
      </c>
      <c r="I12">
        <f t="shared" si="4"/>
        <v>-1038817.4696985788</v>
      </c>
    </row>
    <row r="13" spans="1:10" x14ac:dyDescent="0.2">
      <c r="A13">
        <v>12</v>
      </c>
      <c r="B13">
        <v>3000</v>
      </c>
      <c r="C13">
        <v>900</v>
      </c>
      <c r="D13">
        <f t="shared" si="0"/>
        <v>977.07937938045666</v>
      </c>
      <c r="F13" s="2">
        <f t="shared" si="1"/>
        <v>1702.0885581395348</v>
      </c>
      <c r="G13">
        <f t="shared" si="2"/>
        <v>-66.451953488372169</v>
      </c>
      <c r="H13" s="12">
        <f t="shared" si="3"/>
        <v>2897105.4597495208</v>
      </c>
      <c r="I13">
        <f t="shared" si="4"/>
        <v>-113107.10969857882</v>
      </c>
    </row>
    <row r="14" spans="1:10" x14ac:dyDescent="0.2">
      <c r="A14">
        <v>13</v>
      </c>
      <c r="B14">
        <v>3000</v>
      </c>
      <c r="C14">
        <v>1000</v>
      </c>
      <c r="D14">
        <f t="shared" si="0"/>
        <v>977.07937938045666</v>
      </c>
      <c r="F14" s="2">
        <f t="shared" si="1"/>
        <v>1702.0885581395348</v>
      </c>
      <c r="G14">
        <f t="shared" si="2"/>
        <v>33.548046511627831</v>
      </c>
      <c r="H14" s="12">
        <f t="shared" si="3"/>
        <v>2897105.4597495208</v>
      </c>
      <c r="I14">
        <f t="shared" si="4"/>
        <v>57101.746115374663</v>
      </c>
    </row>
    <row r="15" spans="1:10" x14ac:dyDescent="0.2">
      <c r="A15">
        <v>14</v>
      </c>
      <c r="B15">
        <v>3000</v>
      </c>
      <c r="C15">
        <v>1200</v>
      </c>
      <c r="D15">
        <f t="shared" si="0"/>
        <v>977.07937938045666</v>
      </c>
      <c r="F15" s="2">
        <f t="shared" si="1"/>
        <v>1702.0885581395348</v>
      </c>
      <c r="G15">
        <f t="shared" si="2"/>
        <v>233.54804651162783</v>
      </c>
      <c r="H15" s="12">
        <f t="shared" si="3"/>
        <v>2897105.4597495208</v>
      </c>
      <c r="I15">
        <f t="shared" si="4"/>
        <v>397519.45774328161</v>
      </c>
    </row>
    <row r="16" spans="1:10" x14ac:dyDescent="0.2">
      <c r="A16">
        <v>15</v>
      </c>
      <c r="B16">
        <v>3000</v>
      </c>
      <c r="C16">
        <v>889</v>
      </c>
      <c r="D16">
        <f t="shared" si="0"/>
        <v>977.07937938045666</v>
      </c>
      <c r="F16" s="2">
        <f t="shared" si="1"/>
        <v>1702.0885581395348</v>
      </c>
      <c r="G16">
        <f t="shared" si="2"/>
        <v>-77.451953488372169</v>
      </c>
      <c r="H16" s="12">
        <f t="shared" si="3"/>
        <v>2897105.4597495208</v>
      </c>
      <c r="I16">
        <f t="shared" si="4"/>
        <v>-131830.0838381137</v>
      </c>
    </row>
    <row r="17" spans="1:9" x14ac:dyDescent="0.2">
      <c r="A17">
        <v>16</v>
      </c>
      <c r="B17">
        <v>3000</v>
      </c>
      <c r="C17" s="2">
        <v>1300</v>
      </c>
      <c r="D17">
        <f t="shared" si="0"/>
        <v>977.07937938045666</v>
      </c>
      <c r="F17" s="2">
        <f t="shared" si="1"/>
        <v>1702.0885581395348</v>
      </c>
      <c r="G17">
        <f t="shared" si="2"/>
        <v>333.54804651162783</v>
      </c>
      <c r="H17" s="12">
        <f t="shared" si="3"/>
        <v>2897105.4597495208</v>
      </c>
      <c r="I17">
        <f t="shared" si="4"/>
        <v>567728.31355723506</v>
      </c>
    </row>
    <row r="18" spans="1:9" x14ac:dyDescent="0.2">
      <c r="A18">
        <v>17</v>
      </c>
      <c r="B18">
        <v>3000</v>
      </c>
      <c r="C18">
        <v>1000</v>
      </c>
      <c r="D18">
        <f t="shared" si="0"/>
        <v>977.07937938045666</v>
      </c>
      <c r="F18" s="2">
        <f t="shared" si="1"/>
        <v>1702.0885581395348</v>
      </c>
      <c r="G18">
        <f t="shared" si="2"/>
        <v>33.548046511627831</v>
      </c>
      <c r="H18" s="12">
        <f t="shared" si="3"/>
        <v>2897105.4597495208</v>
      </c>
      <c r="I18">
        <f t="shared" si="4"/>
        <v>57101.746115374663</v>
      </c>
    </row>
    <row r="19" spans="1:9" x14ac:dyDescent="0.2">
      <c r="A19">
        <v>18</v>
      </c>
      <c r="B19">
        <v>3000</v>
      </c>
      <c r="C19">
        <v>1800</v>
      </c>
      <c r="D19">
        <f t="shared" si="0"/>
        <v>977.07937938045666</v>
      </c>
      <c r="F19" s="2">
        <f t="shared" si="1"/>
        <v>1702.0885581395348</v>
      </c>
      <c r="G19">
        <f t="shared" si="2"/>
        <v>833.54804651162783</v>
      </c>
      <c r="H19" s="12">
        <f t="shared" si="3"/>
        <v>2897105.4597495208</v>
      </c>
      <c r="I19">
        <f t="shared" si="4"/>
        <v>1418772.5926270026</v>
      </c>
    </row>
    <row r="20" spans="1:9" x14ac:dyDescent="0.2">
      <c r="A20">
        <v>19</v>
      </c>
      <c r="B20">
        <v>3000</v>
      </c>
      <c r="C20">
        <v>1000</v>
      </c>
      <c r="D20">
        <f t="shared" si="0"/>
        <v>977.07937938045666</v>
      </c>
      <c r="F20" s="2">
        <f t="shared" si="1"/>
        <v>1702.0885581395348</v>
      </c>
      <c r="G20">
        <f t="shared" si="2"/>
        <v>33.548046511627831</v>
      </c>
      <c r="H20" s="12">
        <f t="shared" si="3"/>
        <v>2897105.4597495208</v>
      </c>
      <c r="I20">
        <f t="shared" si="4"/>
        <v>57101.746115374663</v>
      </c>
    </row>
    <row r="21" spans="1:9" x14ac:dyDescent="0.2">
      <c r="A21">
        <v>20</v>
      </c>
      <c r="B21">
        <v>3000</v>
      </c>
      <c r="C21">
        <v>715</v>
      </c>
      <c r="D21">
        <f t="shared" si="0"/>
        <v>977.07937938045666</v>
      </c>
      <c r="F21" s="2">
        <f t="shared" si="1"/>
        <v>1702.0885581395348</v>
      </c>
      <c r="G21">
        <f t="shared" si="2"/>
        <v>-251.45195348837217</v>
      </c>
      <c r="H21" s="12">
        <f t="shared" si="3"/>
        <v>2897105.4597495208</v>
      </c>
      <c r="I21">
        <f t="shared" si="4"/>
        <v>-427993.49295439274</v>
      </c>
    </row>
    <row r="22" spans="1:9" x14ac:dyDescent="0.2">
      <c r="A22">
        <v>21</v>
      </c>
      <c r="B22">
        <v>2800</v>
      </c>
      <c r="C22">
        <v>1100</v>
      </c>
      <c r="D22">
        <f t="shared" si="0"/>
        <v>975.83062815170729</v>
      </c>
      <c r="F22" s="2">
        <f t="shared" si="1"/>
        <v>1502.0885581395348</v>
      </c>
      <c r="G22">
        <f t="shared" si="2"/>
        <v>133.54804651162783</v>
      </c>
      <c r="H22" s="12">
        <f t="shared" si="3"/>
        <v>2256270.0364937065</v>
      </c>
      <c r="I22">
        <f t="shared" si="4"/>
        <v>200600.99262700259</v>
      </c>
    </row>
    <row r="23" spans="1:9" x14ac:dyDescent="0.2">
      <c r="A23">
        <v>22</v>
      </c>
      <c r="B23" s="2">
        <v>2700</v>
      </c>
      <c r="C23">
        <v>583</v>
      </c>
      <c r="D23">
        <f t="shared" si="0"/>
        <v>975.2062525373326</v>
      </c>
      <c r="F23" s="2">
        <f t="shared" si="1"/>
        <v>1402.0885581395348</v>
      </c>
      <c r="G23">
        <f t="shared" si="2"/>
        <v>-383.45195348837217</v>
      </c>
      <c r="H23" s="12">
        <f t="shared" si="3"/>
        <v>1965852.3248657996</v>
      </c>
      <c r="I23">
        <f t="shared" si="4"/>
        <v>-537633.59658229968</v>
      </c>
    </row>
    <row r="24" spans="1:9" x14ac:dyDescent="0.2">
      <c r="A24">
        <v>23</v>
      </c>
      <c r="B24">
        <v>2700</v>
      </c>
      <c r="C24">
        <v>500</v>
      </c>
      <c r="D24">
        <f t="shared" si="0"/>
        <v>975.2062525373326</v>
      </c>
      <c r="F24" s="2">
        <f t="shared" si="1"/>
        <v>1402.0885581395348</v>
      </c>
      <c r="G24">
        <f t="shared" si="2"/>
        <v>-466.45195348837217</v>
      </c>
      <c r="H24" s="12">
        <f t="shared" si="3"/>
        <v>1965852.3248657996</v>
      </c>
      <c r="I24">
        <f t="shared" si="4"/>
        <v>-654006.94690788107</v>
      </c>
    </row>
    <row r="25" spans="1:9" x14ac:dyDescent="0.2">
      <c r="A25">
        <v>24</v>
      </c>
      <c r="B25">
        <v>2500</v>
      </c>
      <c r="C25">
        <v>700</v>
      </c>
      <c r="D25">
        <f t="shared" si="0"/>
        <v>973.95750130858335</v>
      </c>
      <c r="F25" s="2">
        <f t="shared" si="1"/>
        <v>1202.0885581395348</v>
      </c>
      <c r="G25">
        <f t="shared" si="2"/>
        <v>-266.45195348837217</v>
      </c>
      <c r="H25" s="12">
        <f t="shared" si="3"/>
        <v>1445016.9016099859</v>
      </c>
      <c r="I25">
        <f t="shared" si="4"/>
        <v>-320298.8445822997</v>
      </c>
    </row>
    <row r="26" spans="1:9" x14ac:dyDescent="0.2">
      <c r="A26">
        <v>25</v>
      </c>
      <c r="B26">
        <v>2500</v>
      </c>
      <c r="C26">
        <v>1200</v>
      </c>
      <c r="D26">
        <f t="shared" si="0"/>
        <v>973.95750130858335</v>
      </c>
      <c r="F26" s="2">
        <f t="shared" si="1"/>
        <v>1202.0885581395348</v>
      </c>
      <c r="G26">
        <f t="shared" si="2"/>
        <v>233.54804651162783</v>
      </c>
      <c r="H26" s="12">
        <f t="shared" si="3"/>
        <v>1445016.9016099859</v>
      </c>
      <c r="I26">
        <f t="shared" si="4"/>
        <v>280745.43448746769</v>
      </c>
    </row>
    <row r="27" spans="1:9" x14ac:dyDescent="0.2">
      <c r="A27">
        <v>26</v>
      </c>
      <c r="B27">
        <v>2500</v>
      </c>
      <c r="C27">
        <v>50</v>
      </c>
      <c r="D27">
        <f t="shared" si="0"/>
        <v>973.95750130858335</v>
      </c>
      <c r="F27" s="2">
        <f t="shared" si="1"/>
        <v>1202.0885581395348</v>
      </c>
      <c r="G27">
        <f t="shared" si="2"/>
        <v>-916.45195348837217</v>
      </c>
      <c r="H27" s="12">
        <f t="shared" si="3"/>
        <v>1445016.9016099859</v>
      </c>
      <c r="I27">
        <f t="shared" si="4"/>
        <v>-1101656.4073729974</v>
      </c>
    </row>
    <row r="28" spans="1:9" x14ac:dyDescent="0.2">
      <c r="A28">
        <v>27</v>
      </c>
      <c r="B28">
        <v>2500</v>
      </c>
      <c r="C28">
        <v>900</v>
      </c>
      <c r="D28">
        <f t="shared" si="0"/>
        <v>973.95750130858335</v>
      </c>
      <c r="F28" s="2">
        <f t="shared" si="1"/>
        <v>1202.0885581395348</v>
      </c>
      <c r="G28">
        <f t="shared" si="2"/>
        <v>-66.451953488372169</v>
      </c>
      <c r="H28" s="12">
        <f t="shared" si="3"/>
        <v>1445016.9016099859</v>
      </c>
      <c r="I28">
        <f t="shared" si="4"/>
        <v>-79881.132954392728</v>
      </c>
    </row>
    <row r="29" spans="1:9" x14ac:dyDescent="0.2">
      <c r="A29">
        <v>28</v>
      </c>
      <c r="B29">
        <v>2500</v>
      </c>
      <c r="C29">
        <v>550</v>
      </c>
      <c r="D29">
        <f t="shared" si="0"/>
        <v>973.95750130858335</v>
      </c>
      <c r="F29" s="2">
        <f t="shared" si="1"/>
        <v>1202.0885581395348</v>
      </c>
      <c r="G29">
        <f t="shared" si="2"/>
        <v>-416.45195348837217</v>
      </c>
      <c r="H29" s="12">
        <f t="shared" si="3"/>
        <v>1445016.9016099859</v>
      </c>
      <c r="I29">
        <f t="shared" si="4"/>
        <v>-500612.12830322993</v>
      </c>
    </row>
    <row r="30" spans="1:9" x14ac:dyDescent="0.2">
      <c r="A30">
        <v>29</v>
      </c>
      <c r="B30">
        <v>2500</v>
      </c>
      <c r="C30">
        <v>800</v>
      </c>
      <c r="D30">
        <f t="shared" si="0"/>
        <v>973.95750130858335</v>
      </c>
      <c r="F30" s="2">
        <f t="shared" si="1"/>
        <v>1202.0885581395348</v>
      </c>
      <c r="G30">
        <f t="shared" si="2"/>
        <v>-166.45195348837217</v>
      </c>
      <c r="H30" s="12">
        <f t="shared" si="3"/>
        <v>1445016.9016099859</v>
      </c>
      <c r="I30">
        <f t="shared" si="4"/>
        <v>-200089.9887683462</v>
      </c>
    </row>
    <row r="31" spans="1:9" x14ac:dyDescent="0.2">
      <c r="A31">
        <v>30</v>
      </c>
      <c r="B31">
        <v>2500</v>
      </c>
      <c r="C31">
        <v>910</v>
      </c>
      <c r="D31">
        <f t="shared" si="0"/>
        <v>973.95750130858335</v>
      </c>
      <c r="F31" s="2">
        <f t="shared" si="1"/>
        <v>1202.0885581395348</v>
      </c>
      <c r="G31">
        <f t="shared" si="2"/>
        <v>-56.451953488372169</v>
      </c>
      <c r="H31" s="12">
        <f t="shared" si="3"/>
        <v>1445016.9016099859</v>
      </c>
      <c r="I31">
        <f t="shared" si="4"/>
        <v>-67860.247372997386</v>
      </c>
    </row>
    <row r="32" spans="1:9" x14ac:dyDescent="0.2">
      <c r="A32">
        <v>31</v>
      </c>
      <c r="B32">
        <v>2500</v>
      </c>
      <c r="C32">
        <v>1000</v>
      </c>
      <c r="D32">
        <f t="shared" si="0"/>
        <v>973.95750130858335</v>
      </c>
      <c r="F32" s="2">
        <f t="shared" si="1"/>
        <v>1202.0885581395348</v>
      </c>
      <c r="G32">
        <f t="shared" si="2"/>
        <v>33.548046511627831</v>
      </c>
      <c r="H32" s="12">
        <f t="shared" si="3"/>
        <v>1445016.9016099859</v>
      </c>
      <c r="I32">
        <f t="shared" si="4"/>
        <v>40327.722859560752</v>
      </c>
    </row>
    <row r="33" spans="1:9" x14ac:dyDescent="0.2">
      <c r="A33">
        <v>32</v>
      </c>
      <c r="B33">
        <v>2200</v>
      </c>
      <c r="C33">
        <v>600</v>
      </c>
      <c r="D33">
        <f t="shared" si="0"/>
        <v>972.0843744654594</v>
      </c>
      <c r="F33" s="2">
        <f t="shared" si="1"/>
        <v>902.08855813953483</v>
      </c>
      <c r="G33">
        <f t="shared" si="2"/>
        <v>-366.45195348837217</v>
      </c>
      <c r="H33" s="12">
        <f t="shared" si="3"/>
        <v>813763.76672626485</v>
      </c>
      <c r="I33">
        <f t="shared" si="4"/>
        <v>-330572.11434974155</v>
      </c>
    </row>
    <row r="34" spans="1:9" x14ac:dyDescent="0.2">
      <c r="A34">
        <v>33</v>
      </c>
      <c r="B34">
        <v>2180</v>
      </c>
      <c r="C34">
        <v>1015</v>
      </c>
      <c r="D34">
        <f t="shared" si="0"/>
        <v>971.95949934258442</v>
      </c>
      <c r="F34" s="2">
        <f t="shared" si="1"/>
        <v>882.08855813953483</v>
      </c>
      <c r="G34">
        <f t="shared" si="2"/>
        <v>48.548046511627831</v>
      </c>
      <c r="H34" s="12">
        <f t="shared" si="3"/>
        <v>778080.22440068354</v>
      </c>
      <c r="I34">
        <f t="shared" si="4"/>
        <v>42823.676347932866</v>
      </c>
    </row>
    <row r="35" spans="1:9" x14ac:dyDescent="0.2">
      <c r="A35">
        <v>34</v>
      </c>
      <c r="B35" s="3">
        <v>2128.96</v>
      </c>
      <c r="C35">
        <v>1400</v>
      </c>
      <c r="D35">
        <f t="shared" si="0"/>
        <v>971.64081802900762</v>
      </c>
      <c r="F35" s="2">
        <f t="shared" si="1"/>
        <v>831.04855813953486</v>
      </c>
      <c r="G35">
        <f t="shared" si="2"/>
        <v>433.54804651162783</v>
      </c>
      <c r="H35" s="12">
        <f t="shared" si="3"/>
        <v>690641.7059857999</v>
      </c>
      <c r="I35">
        <f t="shared" si="4"/>
        <v>360299.47893770033</v>
      </c>
    </row>
    <row r="36" spans="1:9" x14ac:dyDescent="0.2">
      <c r="A36">
        <v>35</v>
      </c>
      <c r="B36">
        <v>2000</v>
      </c>
      <c r="C36">
        <v>656</v>
      </c>
      <c r="D36">
        <f t="shared" si="0"/>
        <v>970.83562323671003</v>
      </c>
      <c r="F36" s="2">
        <f t="shared" si="1"/>
        <v>702.08855813953483</v>
      </c>
      <c r="G36">
        <f t="shared" si="2"/>
        <v>-310.45195348837217</v>
      </c>
      <c r="H36" s="12">
        <f t="shared" si="3"/>
        <v>492928.34347045096</v>
      </c>
      <c r="I36">
        <f t="shared" si="4"/>
        <v>-217964.76439625316</v>
      </c>
    </row>
    <row r="37" spans="1:9" x14ac:dyDescent="0.2">
      <c r="A37">
        <v>36</v>
      </c>
      <c r="B37">
        <v>2000</v>
      </c>
      <c r="C37">
        <v>1470</v>
      </c>
      <c r="D37">
        <f t="shared" si="0"/>
        <v>970.83562323671003</v>
      </c>
      <c r="F37" s="2">
        <f t="shared" si="1"/>
        <v>702.08855813953483</v>
      </c>
      <c r="G37">
        <f t="shared" si="2"/>
        <v>503.54804651162783</v>
      </c>
      <c r="H37" s="12">
        <f t="shared" si="3"/>
        <v>492928.34347045096</v>
      </c>
      <c r="I37">
        <f t="shared" si="4"/>
        <v>353535.3219293282</v>
      </c>
    </row>
    <row r="38" spans="1:9" x14ac:dyDescent="0.2">
      <c r="A38">
        <v>37</v>
      </c>
      <c r="B38">
        <v>2000</v>
      </c>
      <c r="C38">
        <v>915</v>
      </c>
      <c r="D38">
        <f t="shared" si="0"/>
        <v>970.83562323671003</v>
      </c>
      <c r="F38" s="2">
        <f t="shared" si="1"/>
        <v>702.08855813953483</v>
      </c>
      <c r="G38">
        <f t="shared" si="2"/>
        <v>-51.451953488372169</v>
      </c>
      <c r="H38" s="12">
        <f t="shared" si="3"/>
        <v>492928.34347045096</v>
      </c>
      <c r="I38">
        <f t="shared" si="4"/>
        <v>-36123.827838113626</v>
      </c>
    </row>
    <row r="39" spans="1:9" x14ac:dyDescent="0.2">
      <c r="A39">
        <v>38</v>
      </c>
      <c r="B39">
        <v>2000</v>
      </c>
      <c r="C39">
        <v>1250</v>
      </c>
      <c r="D39">
        <f t="shared" si="0"/>
        <v>970.83562323671003</v>
      </c>
      <c r="F39" s="2">
        <f t="shared" si="1"/>
        <v>702.08855813953483</v>
      </c>
      <c r="G39">
        <f t="shared" si="2"/>
        <v>283.54804651162783</v>
      </c>
      <c r="H39" s="12">
        <f t="shared" si="3"/>
        <v>492928.34347045096</v>
      </c>
      <c r="I39">
        <f t="shared" si="4"/>
        <v>199075.83913863054</v>
      </c>
    </row>
    <row r="40" spans="1:9" x14ac:dyDescent="0.2">
      <c r="A40">
        <v>39</v>
      </c>
      <c r="B40">
        <v>2000</v>
      </c>
      <c r="C40">
        <v>1800</v>
      </c>
      <c r="D40">
        <f t="shared" si="0"/>
        <v>970.83562323671003</v>
      </c>
      <c r="F40" s="2">
        <f t="shared" si="1"/>
        <v>702.08855813953483</v>
      </c>
      <c r="G40">
        <f t="shared" si="2"/>
        <v>833.54804651162783</v>
      </c>
      <c r="H40" s="12">
        <f t="shared" si="3"/>
        <v>492928.34347045096</v>
      </c>
      <c r="I40">
        <f t="shared" si="4"/>
        <v>585224.54611537466</v>
      </c>
    </row>
    <row r="41" spans="1:9" x14ac:dyDescent="0.2">
      <c r="A41">
        <v>40</v>
      </c>
      <c r="B41">
        <v>2000</v>
      </c>
      <c r="C41">
        <v>600</v>
      </c>
      <c r="D41">
        <f t="shared" si="0"/>
        <v>970.83562323671003</v>
      </c>
      <c r="F41" s="2">
        <f t="shared" si="1"/>
        <v>702.08855813953483</v>
      </c>
      <c r="G41">
        <f t="shared" si="2"/>
        <v>-366.45195348837217</v>
      </c>
      <c r="H41" s="12">
        <f t="shared" si="3"/>
        <v>492928.34347045096</v>
      </c>
      <c r="I41">
        <f t="shared" si="4"/>
        <v>-257281.7236520671</v>
      </c>
    </row>
    <row r="42" spans="1:9" x14ac:dyDescent="0.2">
      <c r="A42">
        <v>41</v>
      </c>
      <c r="B42">
        <v>2000</v>
      </c>
      <c r="C42">
        <v>1200</v>
      </c>
      <c r="D42">
        <f t="shared" si="0"/>
        <v>970.83562323671003</v>
      </c>
      <c r="F42" s="2">
        <f t="shared" si="1"/>
        <v>702.08855813953483</v>
      </c>
      <c r="G42">
        <f t="shared" si="2"/>
        <v>233.54804651162783</v>
      </c>
      <c r="H42" s="12">
        <f t="shared" si="3"/>
        <v>492928.34347045096</v>
      </c>
      <c r="I42">
        <f t="shared" si="4"/>
        <v>163971.41123165379</v>
      </c>
    </row>
    <row r="43" spans="1:9" x14ac:dyDescent="0.2">
      <c r="A43">
        <v>42</v>
      </c>
      <c r="B43">
        <v>2000</v>
      </c>
      <c r="C43">
        <v>980</v>
      </c>
      <c r="D43">
        <f t="shared" si="0"/>
        <v>970.83562323671003</v>
      </c>
      <c r="F43" s="2">
        <f t="shared" si="1"/>
        <v>702.08855813953483</v>
      </c>
      <c r="G43">
        <f t="shared" si="2"/>
        <v>13.548046511627831</v>
      </c>
      <c r="H43" s="12">
        <f t="shared" si="3"/>
        <v>492928.34347045096</v>
      </c>
      <c r="I43">
        <f t="shared" si="4"/>
        <v>9511.9284409561387</v>
      </c>
    </row>
    <row r="44" spans="1:9" x14ac:dyDescent="0.2">
      <c r="A44">
        <v>43</v>
      </c>
      <c r="B44">
        <v>2000</v>
      </c>
      <c r="C44">
        <v>740</v>
      </c>
      <c r="D44">
        <f t="shared" si="0"/>
        <v>970.83562323671003</v>
      </c>
      <c r="F44" s="2">
        <f t="shared" si="1"/>
        <v>702.08855813953483</v>
      </c>
      <c r="G44">
        <f t="shared" si="2"/>
        <v>-226.45195348837217</v>
      </c>
      <c r="H44" s="12">
        <f t="shared" si="3"/>
        <v>492928.34347045096</v>
      </c>
      <c r="I44">
        <f t="shared" si="4"/>
        <v>-158989.32551253223</v>
      </c>
    </row>
    <row r="45" spans="1:9" x14ac:dyDescent="0.2">
      <c r="A45">
        <v>44</v>
      </c>
      <c r="B45">
        <v>2000</v>
      </c>
      <c r="C45">
        <v>779</v>
      </c>
      <c r="D45">
        <f t="shared" si="0"/>
        <v>970.83562323671003</v>
      </c>
      <c r="F45" s="2">
        <f t="shared" si="1"/>
        <v>702.08855813953483</v>
      </c>
      <c r="G45">
        <f t="shared" si="2"/>
        <v>-187.45195348837217</v>
      </c>
      <c r="H45" s="12">
        <f t="shared" si="3"/>
        <v>492928.34347045096</v>
      </c>
      <c r="I45">
        <f t="shared" si="4"/>
        <v>-131607.87174509035</v>
      </c>
    </row>
    <row r="46" spans="1:9" x14ac:dyDescent="0.2">
      <c r="A46">
        <v>45</v>
      </c>
      <c r="B46">
        <v>2000</v>
      </c>
      <c r="C46">
        <v>1200</v>
      </c>
      <c r="D46">
        <f t="shared" si="0"/>
        <v>970.83562323671003</v>
      </c>
      <c r="F46" s="2">
        <f t="shared" si="1"/>
        <v>702.08855813953483</v>
      </c>
      <c r="G46">
        <f t="shared" si="2"/>
        <v>233.54804651162783</v>
      </c>
      <c r="H46" s="12">
        <f t="shared" si="3"/>
        <v>492928.34347045096</v>
      </c>
      <c r="I46">
        <f t="shared" si="4"/>
        <v>163971.41123165379</v>
      </c>
    </row>
    <row r="47" spans="1:9" x14ac:dyDescent="0.2">
      <c r="A47">
        <v>46</v>
      </c>
      <c r="B47">
        <v>2000</v>
      </c>
      <c r="C47">
        <v>900</v>
      </c>
      <c r="D47">
        <f t="shared" si="0"/>
        <v>970.83562323671003</v>
      </c>
      <c r="F47" s="2">
        <f t="shared" si="1"/>
        <v>702.08855813953483</v>
      </c>
      <c r="G47">
        <f t="shared" si="2"/>
        <v>-66.451953488372169</v>
      </c>
      <c r="H47" s="12">
        <f t="shared" si="3"/>
        <v>492928.34347045096</v>
      </c>
      <c r="I47">
        <f t="shared" si="4"/>
        <v>-46655.156210206645</v>
      </c>
    </row>
    <row r="48" spans="1:9" x14ac:dyDescent="0.2">
      <c r="A48">
        <v>47</v>
      </c>
      <c r="B48">
        <v>2000</v>
      </c>
      <c r="C48">
        <v>400</v>
      </c>
      <c r="D48">
        <f t="shared" si="0"/>
        <v>970.83562323671003</v>
      </c>
      <c r="F48" s="2">
        <f t="shared" si="1"/>
        <v>702.08855813953483</v>
      </c>
      <c r="G48">
        <f t="shared" si="2"/>
        <v>-566.45195348837217</v>
      </c>
      <c r="H48" s="12">
        <f t="shared" si="3"/>
        <v>492928.34347045096</v>
      </c>
      <c r="I48">
        <f t="shared" si="4"/>
        <v>-397699.43527997407</v>
      </c>
    </row>
    <row r="49" spans="1:9" x14ac:dyDescent="0.2">
      <c r="A49">
        <v>48</v>
      </c>
      <c r="B49">
        <v>2000</v>
      </c>
      <c r="C49">
        <v>650</v>
      </c>
      <c r="D49">
        <f t="shared" si="0"/>
        <v>970.83562323671003</v>
      </c>
      <c r="F49" s="2">
        <f t="shared" si="1"/>
        <v>702.08855813953483</v>
      </c>
      <c r="G49">
        <f t="shared" si="2"/>
        <v>-316.45195348837217</v>
      </c>
      <c r="H49" s="12">
        <f t="shared" si="3"/>
        <v>492928.34347045096</v>
      </c>
      <c r="I49">
        <f t="shared" si="4"/>
        <v>-222177.29574509035</v>
      </c>
    </row>
    <row r="50" spans="1:9" x14ac:dyDescent="0.2">
      <c r="A50">
        <v>49</v>
      </c>
      <c r="B50">
        <v>2000</v>
      </c>
      <c r="C50">
        <v>1200</v>
      </c>
      <c r="D50">
        <f t="shared" si="0"/>
        <v>970.83562323671003</v>
      </c>
      <c r="F50" s="2">
        <f t="shared" si="1"/>
        <v>702.08855813953483</v>
      </c>
      <c r="G50">
        <f t="shared" si="2"/>
        <v>233.54804651162783</v>
      </c>
      <c r="H50" s="12">
        <f t="shared" si="3"/>
        <v>492928.34347045096</v>
      </c>
      <c r="I50">
        <f t="shared" si="4"/>
        <v>163971.41123165379</v>
      </c>
    </row>
    <row r="51" spans="1:9" x14ac:dyDescent="0.2">
      <c r="A51">
        <v>50</v>
      </c>
      <c r="B51">
        <v>2000</v>
      </c>
      <c r="C51">
        <v>1200</v>
      </c>
      <c r="D51">
        <f t="shared" si="0"/>
        <v>970.83562323671003</v>
      </c>
      <c r="F51" s="2">
        <f t="shared" si="1"/>
        <v>702.08855813953483</v>
      </c>
      <c r="G51">
        <f t="shared" si="2"/>
        <v>233.54804651162783</v>
      </c>
      <c r="H51" s="12">
        <f t="shared" si="3"/>
        <v>492928.34347045096</v>
      </c>
      <c r="I51">
        <f t="shared" si="4"/>
        <v>163971.41123165379</v>
      </c>
    </row>
    <row r="52" spans="1:9" x14ac:dyDescent="0.2">
      <c r="A52">
        <v>51</v>
      </c>
      <c r="B52">
        <v>2000</v>
      </c>
      <c r="C52">
        <v>950</v>
      </c>
      <c r="D52">
        <f t="shared" si="0"/>
        <v>970.83562323671003</v>
      </c>
      <c r="F52" s="2">
        <f t="shared" si="1"/>
        <v>702.08855813953483</v>
      </c>
      <c r="G52">
        <f t="shared" si="2"/>
        <v>-16.451953488372169</v>
      </c>
      <c r="H52" s="12">
        <f t="shared" si="3"/>
        <v>492928.34347045096</v>
      </c>
      <c r="I52">
        <f t="shared" si="4"/>
        <v>-11550.728303229906</v>
      </c>
    </row>
    <row r="53" spans="1:9" x14ac:dyDescent="0.2">
      <c r="A53">
        <v>52</v>
      </c>
      <c r="B53">
        <v>2000</v>
      </c>
      <c r="C53">
        <v>900</v>
      </c>
      <c r="D53">
        <f t="shared" si="0"/>
        <v>970.83562323671003</v>
      </c>
      <c r="F53" s="2">
        <f t="shared" si="1"/>
        <v>702.08855813953483</v>
      </c>
      <c r="G53">
        <f t="shared" si="2"/>
        <v>-66.451953488372169</v>
      </c>
      <c r="H53" s="12">
        <f t="shared" si="3"/>
        <v>492928.34347045096</v>
      </c>
      <c r="I53">
        <f t="shared" si="4"/>
        <v>-46655.156210206645</v>
      </c>
    </row>
    <row r="54" spans="1:9" x14ac:dyDescent="0.2">
      <c r="A54">
        <v>53</v>
      </c>
      <c r="B54">
        <v>2000</v>
      </c>
      <c r="C54">
        <v>1380</v>
      </c>
      <c r="D54">
        <f t="shared" si="0"/>
        <v>970.83562323671003</v>
      </c>
      <c r="F54" s="2">
        <f t="shared" si="1"/>
        <v>702.08855813953483</v>
      </c>
      <c r="G54">
        <f t="shared" si="2"/>
        <v>413.54804651162783</v>
      </c>
      <c r="H54" s="12">
        <f t="shared" si="3"/>
        <v>492928.34347045096</v>
      </c>
      <c r="I54">
        <f t="shared" si="4"/>
        <v>290347.35169677006</v>
      </c>
    </row>
    <row r="55" spans="1:9" x14ac:dyDescent="0.2">
      <c r="A55">
        <v>54</v>
      </c>
      <c r="B55">
        <v>2000</v>
      </c>
      <c r="C55">
        <v>1000</v>
      </c>
      <c r="D55">
        <f t="shared" si="0"/>
        <v>970.83562323671003</v>
      </c>
      <c r="F55" s="2">
        <f t="shared" si="1"/>
        <v>702.08855813953483</v>
      </c>
      <c r="G55">
        <f t="shared" si="2"/>
        <v>33.548046511627831</v>
      </c>
      <c r="H55" s="12">
        <f t="shared" si="3"/>
        <v>492928.34347045096</v>
      </c>
      <c r="I55">
        <f t="shared" si="4"/>
        <v>23553.699603746834</v>
      </c>
    </row>
    <row r="56" spans="1:9" x14ac:dyDescent="0.2">
      <c r="A56">
        <v>55</v>
      </c>
      <c r="B56">
        <v>2000</v>
      </c>
      <c r="C56">
        <v>912</v>
      </c>
      <c r="D56">
        <f t="shared" si="0"/>
        <v>970.83562323671003</v>
      </c>
      <c r="F56" s="2">
        <f t="shared" si="1"/>
        <v>702.08855813953483</v>
      </c>
      <c r="G56">
        <f t="shared" si="2"/>
        <v>-54.451953488372169</v>
      </c>
      <c r="H56" s="12">
        <f t="shared" si="3"/>
        <v>492928.34347045096</v>
      </c>
      <c r="I56">
        <f t="shared" si="4"/>
        <v>-38230.093512532228</v>
      </c>
    </row>
    <row r="57" spans="1:9" x14ac:dyDescent="0.2">
      <c r="A57">
        <v>56</v>
      </c>
      <c r="B57">
        <v>1900</v>
      </c>
      <c r="C57">
        <v>1000</v>
      </c>
      <c r="D57">
        <f t="shared" si="0"/>
        <v>970.21124762233535</v>
      </c>
      <c r="F57" s="2">
        <f t="shared" si="1"/>
        <v>602.08855813953483</v>
      </c>
      <c r="G57">
        <f t="shared" si="2"/>
        <v>33.548046511627831</v>
      </c>
      <c r="H57" s="12">
        <f t="shared" si="3"/>
        <v>362510.63184254401</v>
      </c>
      <c r="I57">
        <f t="shared" si="4"/>
        <v>20198.894952584051</v>
      </c>
    </row>
    <row r="58" spans="1:9" x14ac:dyDescent="0.2">
      <c r="A58">
        <v>57</v>
      </c>
      <c r="B58">
        <v>1900</v>
      </c>
      <c r="C58">
        <v>900</v>
      </c>
      <c r="D58">
        <f t="shared" si="0"/>
        <v>970.21124762233535</v>
      </c>
      <c r="F58" s="2">
        <f t="shared" si="1"/>
        <v>602.08855813953483</v>
      </c>
      <c r="G58">
        <f t="shared" si="2"/>
        <v>-66.451953488372169</v>
      </c>
      <c r="H58" s="12">
        <f t="shared" si="3"/>
        <v>362510.63184254401</v>
      </c>
      <c r="I58">
        <f t="shared" si="4"/>
        <v>-40009.960861369429</v>
      </c>
    </row>
    <row r="59" spans="1:9" x14ac:dyDescent="0.2">
      <c r="A59">
        <v>58</v>
      </c>
      <c r="B59" s="2">
        <v>1800</v>
      </c>
      <c r="C59">
        <v>1100</v>
      </c>
      <c r="D59">
        <f t="shared" si="0"/>
        <v>969.58687200796078</v>
      </c>
      <c r="F59" s="2">
        <f t="shared" si="1"/>
        <v>502.08855813953483</v>
      </c>
      <c r="G59">
        <f t="shared" si="2"/>
        <v>133.54804651162783</v>
      </c>
      <c r="H59" s="12">
        <f t="shared" si="3"/>
        <v>252092.92021463704</v>
      </c>
      <c r="I59">
        <f t="shared" si="4"/>
        <v>67052.946115374754</v>
      </c>
    </row>
    <row r="60" spans="1:9" x14ac:dyDescent="0.2">
      <c r="A60">
        <v>59</v>
      </c>
      <c r="B60">
        <v>1800</v>
      </c>
      <c r="C60">
        <v>1100</v>
      </c>
      <c r="D60">
        <f t="shared" si="0"/>
        <v>969.58687200796078</v>
      </c>
      <c r="F60" s="2">
        <f t="shared" si="1"/>
        <v>502.08855813953483</v>
      </c>
      <c r="G60">
        <f t="shared" si="2"/>
        <v>133.54804651162783</v>
      </c>
      <c r="H60" s="12">
        <f t="shared" si="3"/>
        <v>252092.92021463704</v>
      </c>
      <c r="I60">
        <f t="shared" si="4"/>
        <v>67052.946115374754</v>
      </c>
    </row>
    <row r="61" spans="1:9" x14ac:dyDescent="0.2">
      <c r="A61">
        <v>60</v>
      </c>
      <c r="B61">
        <v>1800</v>
      </c>
      <c r="C61">
        <v>1450</v>
      </c>
      <c r="D61">
        <f t="shared" si="0"/>
        <v>969.58687200796078</v>
      </c>
      <c r="F61" s="2">
        <f t="shared" si="1"/>
        <v>502.08855813953483</v>
      </c>
      <c r="G61">
        <f t="shared" si="2"/>
        <v>483.54804651162783</v>
      </c>
      <c r="H61" s="12">
        <f t="shared" si="3"/>
        <v>252092.92021463704</v>
      </c>
      <c r="I61">
        <f t="shared" si="4"/>
        <v>242783.94146421194</v>
      </c>
    </row>
    <row r="62" spans="1:9" x14ac:dyDescent="0.2">
      <c r="A62">
        <v>61</v>
      </c>
      <c r="B62">
        <v>1800</v>
      </c>
      <c r="C62">
        <v>1500</v>
      </c>
      <c r="D62">
        <f t="shared" si="0"/>
        <v>969.58687200796078</v>
      </c>
      <c r="F62" s="2">
        <f t="shared" si="1"/>
        <v>502.08855813953483</v>
      </c>
      <c r="G62">
        <f t="shared" si="2"/>
        <v>533.54804651162783</v>
      </c>
      <c r="H62" s="12">
        <f t="shared" si="3"/>
        <v>252092.92021463704</v>
      </c>
      <c r="I62">
        <f t="shared" si="4"/>
        <v>267888.36937118869</v>
      </c>
    </row>
    <row r="63" spans="1:9" x14ac:dyDescent="0.2">
      <c r="A63">
        <v>62</v>
      </c>
      <c r="B63">
        <v>1800</v>
      </c>
      <c r="C63">
        <v>750</v>
      </c>
      <c r="D63">
        <f t="shared" si="0"/>
        <v>969.58687200796078</v>
      </c>
      <c r="F63" s="2">
        <f t="shared" si="1"/>
        <v>502.08855813953483</v>
      </c>
      <c r="G63">
        <f t="shared" si="2"/>
        <v>-216.45195348837217</v>
      </c>
      <c r="H63" s="12">
        <f t="shared" si="3"/>
        <v>252092.92021463704</v>
      </c>
      <c r="I63">
        <f t="shared" si="4"/>
        <v>-108678.04923346244</v>
      </c>
    </row>
    <row r="64" spans="1:9" x14ac:dyDescent="0.2">
      <c r="A64">
        <v>63</v>
      </c>
      <c r="B64">
        <v>1750</v>
      </c>
      <c r="C64">
        <v>766</v>
      </c>
      <c r="D64">
        <f t="shared" si="0"/>
        <v>969.27468420077344</v>
      </c>
      <c r="F64" s="2">
        <f t="shared" si="1"/>
        <v>452.08855813953483</v>
      </c>
      <c r="G64">
        <f t="shared" si="2"/>
        <v>-200.45195348837217</v>
      </c>
      <c r="H64" s="12">
        <f t="shared" si="3"/>
        <v>204384.06440068356</v>
      </c>
      <c r="I64">
        <f t="shared" si="4"/>
        <v>-90622.034628811278</v>
      </c>
    </row>
    <row r="65" spans="1:9" x14ac:dyDescent="0.2">
      <c r="A65">
        <v>64</v>
      </c>
      <c r="B65">
        <v>1750</v>
      </c>
      <c r="C65">
        <v>900</v>
      </c>
      <c r="D65">
        <f t="shared" si="0"/>
        <v>969.27468420077344</v>
      </c>
      <c r="F65" s="2">
        <f t="shared" si="1"/>
        <v>452.08855813953483</v>
      </c>
      <c r="G65">
        <f t="shared" si="2"/>
        <v>-66.451953488372169</v>
      </c>
      <c r="H65" s="12">
        <f t="shared" si="3"/>
        <v>204384.06440068356</v>
      </c>
      <c r="I65">
        <f t="shared" si="4"/>
        <v>-30042.167838113604</v>
      </c>
    </row>
    <row r="66" spans="1:9" x14ac:dyDescent="0.2">
      <c r="A66">
        <v>65</v>
      </c>
      <c r="B66">
        <v>1700</v>
      </c>
      <c r="C66">
        <v>580</v>
      </c>
      <c r="D66">
        <f t="shared" si="0"/>
        <v>968.96249639358609</v>
      </c>
      <c r="F66" s="2">
        <f t="shared" si="1"/>
        <v>402.08855813953483</v>
      </c>
      <c r="G66">
        <f t="shared" si="2"/>
        <v>-386.45195348837217</v>
      </c>
      <c r="H66" s="12">
        <f t="shared" si="3"/>
        <v>161675.20858673006</v>
      </c>
      <c r="I66">
        <f t="shared" si="4"/>
        <v>-155387.90876834615</v>
      </c>
    </row>
    <row r="67" spans="1:9" x14ac:dyDescent="0.2">
      <c r="A67">
        <v>66</v>
      </c>
      <c r="B67">
        <v>1676</v>
      </c>
      <c r="C67">
        <v>800</v>
      </c>
      <c r="D67">
        <f t="shared" ref="D67:D130" si="5">$H$223+($H$222*B67)</f>
        <v>968.81264624613618</v>
      </c>
      <c r="F67" s="2">
        <f t="shared" ref="F67:F130" si="6">B67-$B$218</f>
        <v>378.08855813953483</v>
      </c>
      <c r="G67">
        <f t="shared" ref="G67:G130" si="7">C67-$C$218</f>
        <v>-166.45195348837217</v>
      </c>
      <c r="H67" s="12">
        <f t="shared" ref="H67:H130" si="8">(F67)^2</f>
        <v>142950.95779603239</v>
      </c>
      <c r="I67">
        <f t="shared" ref="I67:I130" si="9">F67*G67</f>
        <v>-62933.579093927547</v>
      </c>
    </row>
    <row r="68" spans="1:9" x14ac:dyDescent="0.2">
      <c r="A68">
        <v>67</v>
      </c>
      <c r="B68" s="2">
        <v>1632</v>
      </c>
      <c r="C68">
        <v>1000</v>
      </c>
      <c r="D68">
        <f t="shared" si="5"/>
        <v>968.53792097581129</v>
      </c>
      <c r="F68" s="2">
        <f t="shared" si="6"/>
        <v>334.08855813953483</v>
      </c>
      <c r="G68">
        <f t="shared" si="7"/>
        <v>33.548046511627831</v>
      </c>
      <c r="H68" s="12">
        <f t="shared" si="8"/>
        <v>111615.16467975335</v>
      </c>
      <c r="I68">
        <f t="shared" si="9"/>
        <v>11208.018487467793</v>
      </c>
    </row>
    <row r="69" spans="1:9" x14ac:dyDescent="0.2">
      <c r="A69">
        <v>68</v>
      </c>
      <c r="B69">
        <v>1630</v>
      </c>
      <c r="C69">
        <v>1500</v>
      </c>
      <c r="D69">
        <f t="shared" si="5"/>
        <v>968.52543346352377</v>
      </c>
      <c r="F69" s="2">
        <f t="shared" si="6"/>
        <v>332.08855813953483</v>
      </c>
      <c r="G69">
        <f t="shared" si="7"/>
        <v>533.54804651162783</v>
      </c>
      <c r="H69" s="12">
        <f t="shared" si="8"/>
        <v>110282.8104471952</v>
      </c>
      <c r="I69">
        <f t="shared" si="9"/>
        <v>177185.20146421195</v>
      </c>
    </row>
    <row r="70" spans="1:9" x14ac:dyDescent="0.2">
      <c r="A70">
        <v>69</v>
      </c>
      <c r="B70" s="2">
        <v>1600</v>
      </c>
      <c r="C70">
        <v>1600</v>
      </c>
      <c r="D70">
        <f t="shared" si="5"/>
        <v>968.33812077921141</v>
      </c>
      <c r="F70" s="2">
        <f t="shared" si="6"/>
        <v>302.08855813953483</v>
      </c>
      <c r="G70">
        <f t="shared" si="7"/>
        <v>633.54804651162783</v>
      </c>
      <c r="H70" s="12">
        <f t="shared" si="8"/>
        <v>91257.496958823118</v>
      </c>
      <c r="I70">
        <f t="shared" si="9"/>
        <v>191387.61588281661</v>
      </c>
    </row>
    <row r="71" spans="1:9" x14ac:dyDescent="0.2">
      <c r="A71">
        <v>70</v>
      </c>
      <c r="B71">
        <v>1600</v>
      </c>
      <c r="C71">
        <v>2000</v>
      </c>
      <c r="D71">
        <f t="shared" si="5"/>
        <v>968.33812077921141</v>
      </c>
      <c r="F71" s="2">
        <f t="shared" si="6"/>
        <v>302.08855813953483</v>
      </c>
      <c r="G71">
        <f t="shared" si="7"/>
        <v>1033.5480465116279</v>
      </c>
      <c r="H71" s="12">
        <f t="shared" si="8"/>
        <v>91257.496958823118</v>
      </c>
      <c r="I71">
        <f t="shared" si="9"/>
        <v>312223.03913863056</v>
      </c>
    </row>
    <row r="72" spans="1:9" x14ac:dyDescent="0.2">
      <c r="A72">
        <v>71</v>
      </c>
      <c r="B72">
        <v>1583</v>
      </c>
      <c r="C72">
        <v>900</v>
      </c>
      <c r="D72">
        <f t="shared" si="5"/>
        <v>968.23197692476776</v>
      </c>
      <c r="F72" s="2">
        <f t="shared" si="6"/>
        <v>285.08855813953483</v>
      </c>
      <c r="G72">
        <f t="shared" si="7"/>
        <v>-66.451953488372169</v>
      </c>
      <c r="H72" s="12">
        <f t="shared" si="8"/>
        <v>81275.485982078928</v>
      </c>
      <c r="I72">
        <f t="shared" si="9"/>
        <v>-18944.691605555454</v>
      </c>
    </row>
    <row r="73" spans="1:9" x14ac:dyDescent="0.2">
      <c r="A73">
        <v>72</v>
      </c>
      <c r="B73">
        <v>1500</v>
      </c>
      <c r="C73">
        <v>1000</v>
      </c>
      <c r="D73">
        <f t="shared" si="5"/>
        <v>967.71374516483672</v>
      </c>
      <c r="F73" s="2">
        <f t="shared" si="6"/>
        <v>202.08855813953483</v>
      </c>
      <c r="G73">
        <f t="shared" si="7"/>
        <v>33.548046511627831</v>
      </c>
      <c r="H73" s="12">
        <f t="shared" si="8"/>
        <v>40839.785330916144</v>
      </c>
      <c r="I73">
        <f t="shared" si="9"/>
        <v>6779.6763479329193</v>
      </c>
    </row>
    <row r="74" spans="1:9" x14ac:dyDescent="0.2">
      <c r="A74">
        <v>73</v>
      </c>
      <c r="B74">
        <v>1500</v>
      </c>
      <c r="C74">
        <v>1150</v>
      </c>
      <c r="D74">
        <f t="shared" si="5"/>
        <v>967.71374516483672</v>
      </c>
      <c r="F74" s="2">
        <f t="shared" si="6"/>
        <v>202.08855813953483</v>
      </c>
      <c r="G74">
        <f t="shared" si="7"/>
        <v>183.54804651162783</v>
      </c>
      <c r="H74" s="12">
        <f t="shared" si="8"/>
        <v>40839.785330916144</v>
      </c>
      <c r="I74">
        <f t="shared" si="9"/>
        <v>37092.96006886314</v>
      </c>
    </row>
    <row r="75" spans="1:9" x14ac:dyDescent="0.2">
      <c r="A75">
        <v>74</v>
      </c>
      <c r="B75">
        <v>1500</v>
      </c>
      <c r="C75">
        <v>850</v>
      </c>
      <c r="D75">
        <f t="shared" si="5"/>
        <v>967.71374516483672</v>
      </c>
      <c r="F75" s="2">
        <f t="shared" si="6"/>
        <v>202.08855813953483</v>
      </c>
      <c r="G75">
        <f t="shared" si="7"/>
        <v>-116.45195348837217</v>
      </c>
      <c r="H75" s="12">
        <f t="shared" si="8"/>
        <v>40839.785330916144</v>
      </c>
      <c r="I75">
        <f t="shared" si="9"/>
        <v>-23533.607372997303</v>
      </c>
    </row>
    <row r="76" spans="1:9" x14ac:dyDescent="0.2">
      <c r="A76">
        <v>75</v>
      </c>
      <c r="B76">
        <v>1500</v>
      </c>
      <c r="C76">
        <v>535</v>
      </c>
      <c r="D76">
        <f t="shared" si="5"/>
        <v>967.71374516483672</v>
      </c>
      <c r="F76" s="2">
        <f t="shared" si="6"/>
        <v>202.08855813953483</v>
      </c>
      <c r="G76">
        <f t="shared" si="7"/>
        <v>-431.45195348837217</v>
      </c>
      <c r="H76" s="12">
        <f t="shared" si="8"/>
        <v>40839.785330916144</v>
      </c>
      <c r="I76">
        <f t="shared" si="9"/>
        <v>-87191.50318695078</v>
      </c>
    </row>
    <row r="77" spans="1:9" x14ac:dyDescent="0.2">
      <c r="A77">
        <v>76</v>
      </c>
      <c r="B77">
        <v>1500</v>
      </c>
      <c r="C77">
        <v>700</v>
      </c>
      <c r="D77">
        <f t="shared" si="5"/>
        <v>967.71374516483672</v>
      </c>
      <c r="F77" s="2">
        <f t="shared" si="6"/>
        <v>202.08855813953483</v>
      </c>
      <c r="G77">
        <f t="shared" si="7"/>
        <v>-266.45195348837217</v>
      </c>
      <c r="H77" s="12">
        <f t="shared" si="8"/>
        <v>40839.785330916144</v>
      </c>
      <c r="I77">
        <f t="shared" si="9"/>
        <v>-53846.89109392753</v>
      </c>
    </row>
    <row r="78" spans="1:9" x14ac:dyDescent="0.2">
      <c r="A78">
        <v>77</v>
      </c>
      <c r="B78">
        <v>1500</v>
      </c>
      <c r="C78">
        <v>200</v>
      </c>
      <c r="D78">
        <f t="shared" si="5"/>
        <v>967.71374516483672</v>
      </c>
      <c r="F78" s="2">
        <f t="shared" si="6"/>
        <v>202.08855813953483</v>
      </c>
      <c r="G78">
        <f t="shared" si="7"/>
        <v>-766.45195348837217</v>
      </c>
      <c r="H78" s="12">
        <f t="shared" si="8"/>
        <v>40839.785330916144</v>
      </c>
      <c r="I78">
        <f t="shared" si="9"/>
        <v>-154891.17016369494</v>
      </c>
    </row>
    <row r="79" spans="1:9" x14ac:dyDescent="0.2">
      <c r="A79">
        <v>78</v>
      </c>
      <c r="B79">
        <v>1500</v>
      </c>
      <c r="C79">
        <v>725</v>
      </c>
      <c r="D79">
        <f t="shared" si="5"/>
        <v>967.71374516483672</v>
      </c>
      <c r="F79" s="2">
        <f t="shared" si="6"/>
        <v>202.08855813953483</v>
      </c>
      <c r="G79">
        <f t="shared" si="7"/>
        <v>-241.45195348837217</v>
      </c>
      <c r="H79" s="12">
        <f t="shared" si="8"/>
        <v>40839.785330916144</v>
      </c>
      <c r="I79">
        <f t="shared" si="9"/>
        <v>-48794.677140439155</v>
      </c>
    </row>
    <row r="80" spans="1:9" x14ac:dyDescent="0.2">
      <c r="A80">
        <v>79</v>
      </c>
      <c r="B80">
        <v>1500</v>
      </c>
      <c r="C80">
        <v>1300</v>
      </c>
      <c r="D80">
        <f t="shared" si="5"/>
        <v>967.71374516483672</v>
      </c>
      <c r="F80" s="2">
        <f t="shared" si="6"/>
        <v>202.08855813953483</v>
      </c>
      <c r="G80">
        <f t="shared" si="7"/>
        <v>333.54804651162783</v>
      </c>
      <c r="H80" s="12">
        <f t="shared" si="8"/>
        <v>40839.785330916144</v>
      </c>
      <c r="I80">
        <f t="shared" si="9"/>
        <v>67406.243789793371</v>
      </c>
    </row>
    <row r="81" spans="1:9" x14ac:dyDescent="0.2">
      <c r="A81">
        <v>80</v>
      </c>
      <c r="B81">
        <v>1500</v>
      </c>
      <c r="C81">
        <v>700</v>
      </c>
      <c r="D81">
        <f t="shared" si="5"/>
        <v>967.71374516483672</v>
      </c>
      <c r="F81" s="2">
        <f t="shared" si="6"/>
        <v>202.08855813953483</v>
      </c>
      <c r="G81">
        <f t="shared" si="7"/>
        <v>-266.45195348837217</v>
      </c>
      <c r="H81" s="12">
        <f t="shared" si="8"/>
        <v>40839.785330916144</v>
      </c>
      <c r="I81">
        <f t="shared" si="9"/>
        <v>-53846.89109392753</v>
      </c>
    </row>
    <row r="82" spans="1:9" x14ac:dyDescent="0.2">
      <c r="A82">
        <v>81</v>
      </c>
      <c r="B82">
        <v>1400</v>
      </c>
      <c r="C82">
        <v>1200</v>
      </c>
      <c r="D82">
        <f t="shared" si="5"/>
        <v>967.08936955046215</v>
      </c>
      <c r="F82" s="2">
        <f t="shared" si="6"/>
        <v>102.08855813953483</v>
      </c>
      <c r="G82">
        <f t="shared" si="7"/>
        <v>233.54804651162783</v>
      </c>
      <c r="H82" s="12">
        <f t="shared" si="8"/>
        <v>10422.073703009182</v>
      </c>
      <c r="I82">
        <f t="shared" si="9"/>
        <v>23842.5833246771</v>
      </c>
    </row>
    <row r="83" spans="1:9" x14ac:dyDescent="0.2">
      <c r="A83">
        <v>82</v>
      </c>
      <c r="B83">
        <v>1400</v>
      </c>
      <c r="C83">
        <v>670</v>
      </c>
      <c r="D83">
        <f t="shared" si="5"/>
        <v>967.08936955046215</v>
      </c>
      <c r="F83" s="2">
        <f t="shared" si="6"/>
        <v>102.08855813953483</v>
      </c>
      <c r="G83">
        <f t="shared" si="7"/>
        <v>-296.45195348837217</v>
      </c>
      <c r="H83" s="12">
        <f t="shared" si="8"/>
        <v>10422.073703009182</v>
      </c>
      <c r="I83">
        <f t="shared" si="9"/>
        <v>-30264.352489276356</v>
      </c>
    </row>
    <row r="84" spans="1:9" x14ac:dyDescent="0.2">
      <c r="A84">
        <v>83</v>
      </c>
      <c r="B84">
        <v>1400</v>
      </c>
      <c r="C84">
        <v>850</v>
      </c>
      <c r="D84">
        <f t="shared" si="5"/>
        <v>967.08936955046215</v>
      </c>
      <c r="F84" s="2">
        <f t="shared" si="6"/>
        <v>102.08855813953483</v>
      </c>
      <c r="G84">
        <f t="shared" si="7"/>
        <v>-116.45195348837217</v>
      </c>
      <c r="H84" s="12">
        <f t="shared" si="8"/>
        <v>10422.073703009182</v>
      </c>
      <c r="I84">
        <f t="shared" si="9"/>
        <v>-11888.412024160087</v>
      </c>
    </row>
    <row r="85" spans="1:9" x14ac:dyDescent="0.2">
      <c r="A85">
        <v>84</v>
      </c>
      <c r="B85">
        <v>1300</v>
      </c>
      <c r="C85">
        <v>300</v>
      </c>
      <c r="D85">
        <f t="shared" si="5"/>
        <v>966.46499393608747</v>
      </c>
      <c r="F85" s="2">
        <f t="shared" si="6"/>
        <v>2.0885581395348254</v>
      </c>
      <c r="G85">
        <f t="shared" si="7"/>
        <v>-666.45195348837217</v>
      </c>
      <c r="H85" s="12">
        <f t="shared" si="8"/>
        <v>4.3620751022171715</v>
      </c>
      <c r="I85">
        <f t="shared" si="9"/>
        <v>-1391.9236520670245</v>
      </c>
    </row>
    <row r="86" spans="1:9" x14ac:dyDescent="0.2">
      <c r="A86">
        <v>85</v>
      </c>
      <c r="B86">
        <v>1300</v>
      </c>
      <c r="C86">
        <v>1100</v>
      </c>
      <c r="D86">
        <f t="shared" si="5"/>
        <v>966.46499393608747</v>
      </c>
      <c r="F86" s="2">
        <f t="shared" si="6"/>
        <v>2.0885581395348254</v>
      </c>
      <c r="G86">
        <f t="shared" si="7"/>
        <v>133.54804651162783</v>
      </c>
      <c r="H86" s="12">
        <f t="shared" si="8"/>
        <v>4.3620751022171715</v>
      </c>
      <c r="I86">
        <f t="shared" si="9"/>
        <v>278.92285956083578</v>
      </c>
    </row>
    <row r="87" spans="1:9" x14ac:dyDescent="0.2">
      <c r="A87">
        <v>86</v>
      </c>
      <c r="B87">
        <v>1300</v>
      </c>
      <c r="C87">
        <v>1000</v>
      </c>
      <c r="D87">
        <f t="shared" si="5"/>
        <v>966.46499393608747</v>
      </c>
      <c r="F87" s="2">
        <f t="shared" si="6"/>
        <v>2.0885581395348254</v>
      </c>
      <c r="G87">
        <f t="shared" si="7"/>
        <v>33.548046511627831</v>
      </c>
      <c r="H87" s="12">
        <f t="shared" si="8"/>
        <v>4.3620751022171715</v>
      </c>
      <c r="I87">
        <f t="shared" si="9"/>
        <v>70.067045607353208</v>
      </c>
    </row>
    <row r="88" spans="1:9" x14ac:dyDescent="0.2">
      <c r="A88">
        <v>87</v>
      </c>
      <c r="B88" s="2">
        <v>1300</v>
      </c>
      <c r="C88">
        <v>725</v>
      </c>
      <c r="D88">
        <f t="shared" si="5"/>
        <v>966.46499393608747</v>
      </c>
      <c r="F88" s="2">
        <f t="shared" si="6"/>
        <v>2.0885581395348254</v>
      </c>
      <c r="G88">
        <f t="shared" si="7"/>
        <v>-241.45195348837217</v>
      </c>
      <c r="H88" s="12">
        <f t="shared" si="8"/>
        <v>4.3620751022171715</v>
      </c>
      <c r="I88">
        <f t="shared" si="9"/>
        <v>-504.28644276472374</v>
      </c>
    </row>
    <row r="89" spans="1:9" x14ac:dyDescent="0.2">
      <c r="A89">
        <v>88</v>
      </c>
      <c r="B89">
        <v>1300</v>
      </c>
      <c r="C89">
        <v>711</v>
      </c>
      <c r="D89">
        <f t="shared" si="5"/>
        <v>966.46499393608747</v>
      </c>
      <c r="F89" s="2">
        <f t="shared" si="6"/>
        <v>2.0885581395348254</v>
      </c>
      <c r="G89">
        <f t="shared" si="7"/>
        <v>-255.45195348837217</v>
      </c>
      <c r="H89" s="12">
        <f t="shared" si="8"/>
        <v>4.3620751022171715</v>
      </c>
      <c r="I89">
        <f t="shared" si="9"/>
        <v>-533.52625671821136</v>
      </c>
    </row>
    <row r="90" spans="1:9" x14ac:dyDescent="0.2">
      <c r="A90">
        <v>89</v>
      </c>
      <c r="B90">
        <v>1300</v>
      </c>
      <c r="C90">
        <v>800</v>
      </c>
      <c r="D90">
        <f t="shared" si="5"/>
        <v>966.46499393608747</v>
      </c>
      <c r="F90" s="2">
        <f t="shared" si="6"/>
        <v>2.0885581395348254</v>
      </c>
      <c r="G90">
        <f t="shared" si="7"/>
        <v>-166.45195348837217</v>
      </c>
      <c r="H90" s="12">
        <f t="shared" si="8"/>
        <v>4.3620751022171715</v>
      </c>
      <c r="I90">
        <f t="shared" si="9"/>
        <v>-347.64458229961184</v>
      </c>
    </row>
    <row r="91" spans="1:9" x14ac:dyDescent="0.2">
      <c r="A91">
        <v>90</v>
      </c>
      <c r="B91">
        <v>1300</v>
      </c>
      <c r="C91">
        <v>1080</v>
      </c>
      <c r="D91">
        <f t="shared" si="5"/>
        <v>966.46499393608747</v>
      </c>
      <c r="F91" s="2">
        <f t="shared" si="6"/>
        <v>2.0885581395348254</v>
      </c>
      <c r="G91">
        <f t="shared" si="7"/>
        <v>113.54804651162783</v>
      </c>
      <c r="H91" s="12">
        <f t="shared" si="8"/>
        <v>4.3620751022171715</v>
      </c>
      <c r="I91">
        <f t="shared" si="9"/>
        <v>237.15169677013924</v>
      </c>
    </row>
    <row r="92" spans="1:9" x14ac:dyDescent="0.2">
      <c r="A92">
        <v>91</v>
      </c>
      <c r="B92" s="2">
        <v>1200</v>
      </c>
      <c r="C92">
        <v>1000</v>
      </c>
      <c r="D92">
        <f t="shared" si="5"/>
        <v>965.84061832171278</v>
      </c>
      <c r="F92" s="2">
        <f t="shared" si="6"/>
        <v>-97.911441860465175</v>
      </c>
      <c r="G92">
        <f t="shared" si="7"/>
        <v>33.548046511627831</v>
      </c>
      <c r="H92" s="12">
        <f t="shared" si="8"/>
        <v>9586.6504471952521</v>
      </c>
      <c r="I92">
        <f t="shared" si="9"/>
        <v>-3284.73760555543</v>
      </c>
    </row>
    <row r="93" spans="1:9" x14ac:dyDescent="0.2">
      <c r="A93">
        <v>92</v>
      </c>
      <c r="B93">
        <v>1200</v>
      </c>
      <c r="C93">
        <v>1400</v>
      </c>
      <c r="D93">
        <f t="shared" si="5"/>
        <v>965.84061832171278</v>
      </c>
      <c r="F93" s="2">
        <f t="shared" si="6"/>
        <v>-97.911441860465175</v>
      </c>
      <c r="G93">
        <f t="shared" si="7"/>
        <v>433.54804651162783</v>
      </c>
      <c r="H93" s="12">
        <f t="shared" si="8"/>
        <v>9586.6504471952521</v>
      </c>
      <c r="I93">
        <f t="shared" si="9"/>
        <v>-42449.3143497415</v>
      </c>
    </row>
    <row r="94" spans="1:9" x14ac:dyDescent="0.2">
      <c r="A94">
        <v>93</v>
      </c>
      <c r="B94">
        <v>1200</v>
      </c>
      <c r="C94">
        <v>900</v>
      </c>
      <c r="D94">
        <f t="shared" si="5"/>
        <v>965.84061832171278</v>
      </c>
      <c r="F94" s="2">
        <f t="shared" si="6"/>
        <v>-97.911441860465175</v>
      </c>
      <c r="G94">
        <f t="shared" si="7"/>
        <v>-66.451953488372169</v>
      </c>
      <c r="H94" s="12">
        <f t="shared" si="8"/>
        <v>9586.6504471952521</v>
      </c>
      <c r="I94">
        <f t="shared" si="9"/>
        <v>6506.4065804910879</v>
      </c>
    </row>
    <row r="95" spans="1:9" x14ac:dyDescent="0.2">
      <c r="A95">
        <v>94</v>
      </c>
      <c r="B95">
        <v>1200</v>
      </c>
      <c r="C95">
        <v>1000</v>
      </c>
      <c r="D95">
        <f t="shared" si="5"/>
        <v>965.84061832171278</v>
      </c>
      <c r="F95" s="2">
        <f t="shared" si="6"/>
        <v>-97.911441860465175</v>
      </c>
      <c r="G95">
        <f t="shared" si="7"/>
        <v>33.548046511627831</v>
      </c>
      <c r="H95" s="12">
        <f t="shared" si="8"/>
        <v>9586.6504471952521</v>
      </c>
      <c r="I95">
        <f t="shared" si="9"/>
        <v>-3284.73760555543</v>
      </c>
    </row>
    <row r="96" spans="1:9" x14ac:dyDescent="0.2">
      <c r="A96">
        <v>95</v>
      </c>
      <c r="B96" s="2">
        <v>1200</v>
      </c>
      <c r="C96">
        <v>70</v>
      </c>
      <c r="D96">
        <f t="shared" si="5"/>
        <v>965.84061832171278</v>
      </c>
      <c r="F96" s="2">
        <f t="shared" si="6"/>
        <v>-97.911441860465175</v>
      </c>
      <c r="G96">
        <f t="shared" si="7"/>
        <v>-896.45195348837217</v>
      </c>
      <c r="H96" s="12">
        <f t="shared" si="8"/>
        <v>9586.6504471952521</v>
      </c>
      <c r="I96">
        <f t="shared" si="9"/>
        <v>87772.903324677187</v>
      </c>
    </row>
    <row r="97" spans="1:9" x14ac:dyDescent="0.2">
      <c r="A97">
        <v>96</v>
      </c>
      <c r="B97">
        <v>1100</v>
      </c>
      <c r="C97">
        <v>750</v>
      </c>
      <c r="D97">
        <f t="shared" si="5"/>
        <v>965.2162427073381</v>
      </c>
      <c r="F97" s="2">
        <f t="shared" si="6"/>
        <v>-197.91144186046517</v>
      </c>
      <c r="G97">
        <f t="shared" si="7"/>
        <v>-216.45195348837217</v>
      </c>
      <c r="H97" s="12">
        <f t="shared" si="8"/>
        <v>39168.938819288283</v>
      </c>
      <c r="I97">
        <f t="shared" si="9"/>
        <v>42838.318208398079</v>
      </c>
    </row>
    <row r="98" spans="1:9" x14ac:dyDescent="0.2">
      <c r="A98">
        <v>97</v>
      </c>
      <c r="B98">
        <v>1100</v>
      </c>
      <c r="C98">
        <v>725</v>
      </c>
      <c r="D98">
        <f t="shared" si="5"/>
        <v>965.2162427073381</v>
      </c>
      <c r="F98" s="2">
        <f t="shared" si="6"/>
        <v>-197.91144186046517</v>
      </c>
      <c r="G98">
        <f t="shared" si="7"/>
        <v>-241.45195348837217</v>
      </c>
      <c r="H98" s="12">
        <f t="shared" si="8"/>
        <v>39168.938819288283</v>
      </c>
      <c r="I98">
        <f t="shared" si="9"/>
        <v>47786.104254909711</v>
      </c>
    </row>
    <row r="99" spans="1:9" x14ac:dyDescent="0.2">
      <c r="A99">
        <v>98</v>
      </c>
      <c r="B99">
        <v>1087</v>
      </c>
      <c r="C99">
        <v>1000</v>
      </c>
      <c r="D99">
        <f t="shared" si="5"/>
        <v>965.13507387746938</v>
      </c>
      <c r="F99" s="2">
        <f t="shared" si="6"/>
        <v>-210.91144186046517</v>
      </c>
      <c r="G99">
        <f t="shared" si="7"/>
        <v>33.548046511627831</v>
      </c>
      <c r="H99" s="12">
        <f t="shared" si="8"/>
        <v>44483.636307660381</v>
      </c>
      <c r="I99">
        <f t="shared" si="9"/>
        <v>-7075.6668613693746</v>
      </c>
    </row>
    <row r="100" spans="1:9" x14ac:dyDescent="0.2">
      <c r="A100">
        <v>99</v>
      </c>
      <c r="B100">
        <v>1063</v>
      </c>
      <c r="C100">
        <v>560</v>
      </c>
      <c r="D100">
        <f t="shared" si="5"/>
        <v>964.98522373001947</v>
      </c>
      <c r="F100" s="2">
        <f t="shared" si="6"/>
        <v>-234.91144186046517</v>
      </c>
      <c r="G100">
        <f t="shared" si="7"/>
        <v>-406.45195348837217</v>
      </c>
      <c r="H100" s="12">
        <f t="shared" si="8"/>
        <v>55183.385516962713</v>
      </c>
      <c r="I100">
        <f t="shared" si="9"/>
        <v>95480.214440956232</v>
      </c>
    </row>
    <row r="101" spans="1:9" x14ac:dyDescent="0.2">
      <c r="A101">
        <v>100</v>
      </c>
      <c r="B101">
        <v>1024</v>
      </c>
      <c r="C101">
        <v>830</v>
      </c>
      <c r="D101">
        <f t="shared" si="5"/>
        <v>964.74171724041344</v>
      </c>
      <c r="F101" s="2">
        <f t="shared" si="6"/>
        <v>-273.91144186046517</v>
      </c>
      <c r="G101">
        <f t="shared" si="7"/>
        <v>-136.45195348837217</v>
      </c>
      <c r="H101" s="12">
        <f t="shared" si="8"/>
        <v>75027.477982078999</v>
      </c>
      <c r="I101">
        <f t="shared" si="9"/>
        <v>37375.751324677149</v>
      </c>
    </row>
    <row r="102" spans="1:9" x14ac:dyDescent="0.2">
      <c r="A102">
        <v>101</v>
      </c>
      <c r="B102" s="2">
        <v>1000</v>
      </c>
      <c r="C102">
        <v>1000</v>
      </c>
      <c r="D102">
        <f t="shared" si="5"/>
        <v>964.59186709296353</v>
      </c>
      <c r="F102" s="2">
        <f t="shared" si="6"/>
        <v>-297.91144186046517</v>
      </c>
      <c r="G102">
        <f t="shared" si="7"/>
        <v>33.548046511627831</v>
      </c>
      <c r="H102" s="12">
        <f t="shared" si="8"/>
        <v>88751.227191381317</v>
      </c>
      <c r="I102">
        <f t="shared" si="9"/>
        <v>-9994.3469078809958</v>
      </c>
    </row>
    <row r="103" spans="1:9" x14ac:dyDescent="0.2">
      <c r="A103">
        <v>102</v>
      </c>
      <c r="B103" s="2">
        <v>1000</v>
      </c>
      <c r="C103">
        <v>900</v>
      </c>
      <c r="D103">
        <f t="shared" si="5"/>
        <v>964.59186709296353</v>
      </c>
      <c r="F103" s="2">
        <f t="shared" si="6"/>
        <v>-297.91144186046517</v>
      </c>
      <c r="G103">
        <f t="shared" si="7"/>
        <v>-66.451953488372169</v>
      </c>
      <c r="H103" s="12">
        <f t="shared" si="8"/>
        <v>88751.227191381317</v>
      </c>
      <c r="I103">
        <f t="shared" si="9"/>
        <v>19796.797278165523</v>
      </c>
    </row>
    <row r="104" spans="1:9" x14ac:dyDescent="0.2">
      <c r="A104">
        <v>103</v>
      </c>
      <c r="B104" s="2">
        <v>1000</v>
      </c>
      <c r="C104">
        <v>2000</v>
      </c>
      <c r="D104">
        <f t="shared" si="5"/>
        <v>964.59186709296353</v>
      </c>
      <c r="F104" s="2">
        <f t="shared" si="6"/>
        <v>-297.91144186046517</v>
      </c>
      <c r="G104">
        <f t="shared" si="7"/>
        <v>1033.5480465116279</v>
      </c>
      <c r="H104" s="12">
        <f t="shared" si="8"/>
        <v>88751.227191381317</v>
      </c>
      <c r="I104">
        <f t="shared" si="9"/>
        <v>-307905.78876834619</v>
      </c>
    </row>
    <row r="105" spans="1:9" x14ac:dyDescent="0.2">
      <c r="A105">
        <v>104</v>
      </c>
      <c r="B105">
        <v>1000</v>
      </c>
      <c r="C105">
        <v>665</v>
      </c>
      <c r="D105">
        <f t="shared" si="5"/>
        <v>964.59186709296353</v>
      </c>
      <c r="F105" s="2">
        <f t="shared" si="6"/>
        <v>-297.91144186046517</v>
      </c>
      <c r="G105">
        <f t="shared" si="7"/>
        <v>-301.45195348837217</v>
      </c>
      <c r="H105" s="12">
        <f t="shared" si="8"/>
        <v>88751.227191381317</v>
      </c>
      <c r="I105">
        <f t="shared" si="9"/>
        <v>89805.986115374835</v>
      </c>
    </row>
    <row r="106" spans="1:9" x14ac:dyDescent="0.2">
      <c r="A106">
        <v>105</v>
      </c>
      <c r="B106" s="2">
        <v>1000</v>
      </c>
      <c r="C106">
        <v>592</v>
      </c>
      <c r="D106">
        <f t="shared" si="5"/>
        <v>964.59186709296353</v>
      </c>
      <c r="F106" s="2">
        <f t="shared" si="6"/>
        <v>-297.91144186046517</v>
      </c>
      <c r="G106">
        <f t="shared" si="7"/>
        <v>-374.45195348837217</v>
      </c>
      <c r="H106" s="12">
        <f t="shared" si="8"/>
        <v>88751.227191381317</v>
      </c>
      <c r="I106">
        <f t="shared" si="9"/>
        <v>111553.52137118879</v>
      </c>
    </row>
    <row r="107" spans="1:9" x14ac:dyDescent="0.2">
      <c r="A107">
        <v>106</v>
      </c>
      <c r="B107" s="2">
        <v>1000</v>
      </c>
      <c r="C107">
        <v>850</v>
      </c>
      <c r="D107">
        <f t="shared" si="5"/>
        <v>964.59186709296353</v>
      </c>
      <c r="F107" s="2">
        <f t="shared" si="6"/>
        <v>-297.91144186046517</v>
      </c>
      <c r="G107">
        <f t="shared" si="7"/>
        <v>-116.45195348837217</v>
      </c>
      <c r="H107" s="12">
        <f t="shared" si="8"/>
        <v>88751.227191381317</v>
      </c>
      <c r="I107">
        <f t="shared" si="9"/>
        <v>34692.369371188783</v>
      </c>
    </row>
    <row r="108" spans="1:9" x14ac:dyDescent="0.2">
      <c r="A108">
        <v>107</v>
      </c>
      <c r="B108">
        <v>1000</v>
      </c>
      <c r="C108">
        <v>900</v>
      </c>
      <c r="D108">
        <f t="shared" si="5"/>
        <v>964.59186709296353</v>
      </c>
      <c r="F108" s="2">
        <f t="shared" si="6"/>
        <v>-297.91144186046517</v>
      </c>
      <c r="G108">
        <f t="shared" si="7"/>
        <v>-66.451953488372169</v>
      </c>
      <c r="H108" s="12">
        <f t="shared" si="8"/>
        <v>88751.227191381317</v>
      </c>
      <c r="I108">
        <f t="shared" si="9"/>
        <v>19796.797278165523</v>
      </c>
    </row>
    <row r="109" spans="1:9" x14ac:dyDescent="0.2">
      <c r="A109">
        <v>108</v>
      </c>
      <c r="B109">
        <v>1000</v>
      </c>
      <c r="C109">
        <v>900</v>
      </c>
      <c r="D109">
        <f t="shared" si="5"/>
        <v>964.59186709296353</v>
      </c>
      <c r="F109" s="2">
        <f t="shared" si="6"/>
        <v>-297.91144186046517</v>
      </c>
      <c r="G109">
        <f t="shared" si="7"/>
        <v>-66.451953488372169</v>
      </c>
      <c r="H109" s="12">
        <f t="shared" si="8"/>
        <v>88751.227191381317</v>
      </c>
      <c r="I109">
        <f t="shared" si="9"/>
        <v>19796.797278165523</v>
      </c>
    </row>
    <row r="110" spans="1:9" x14ac:dyDescent="0.2">
      <c r="A110">
        <v>109</v>
      </c>
      <c r="B110">
        <v>1000</v>
      </c>
      <c r="C110">
        <v>1300</v>
      </c>
      <c r="D110">
        <f t="shared" si="5"/>
        <v>964.59186709296353</v>
      </c>
      <c r="F110" s="2">
        <f t="shared" si="6"/>
        <v>-297.91144186046517</v>
      </c>
      <c r="G110">
        <f t="shared" si="7"/>
        <v>333.54804651162783</v>
      </c>
      <c r="H110" s="12">
        <f t="shared" si="8"/>
        <v>88751.227191381317</v>
      </c>
      <c r="I110">
        <f t="shared" si="9"/>
        <v>-99367.779466020555</v>
      </c>
    </row>
    <row r="111" spans="1:9" x14ac:dyDescent="0.2">
      <c r="A111">
        <v>110</v>
      </c>
      <c r="B111">
        <v>1000</v>
      </c>
      <c r="C111">
        <v>200</v>
      </c>
      <c r="D111">
        <f t="shared" si="5"/>
        <v>964.59186709296353</v>
      </c>
      <c r="F111" s="2">
        <f t="shared" si="6"/>
        <v>-297.91144186046517</v>
      </c>
      <c r="G111">
        <f t="shared" si="7"/>
        <v>-766.45195348837217</v>
      </c>
      <c r="H111" s="12">
        <f t="shared" si="8"/>
        <v>88751.227191381317</v>
      </c>
      <c r="I111">
        <f t="shared" si="9"/>
        <v>228334.80658049113</v>
      </c>
    </row>
    <row r="112" spans="1:9" x14ac:dyDescent="0.2">
      <c r="A112">
        <v>111</v>
      </c>
      <c r="B112">
        <v>1000</v>
      </c>
      <c r="C112">
        <v>2049</v>
      </c>
      <c r="D112">
        <f t="shared" si="5"/>
        <v>964.59186709296353</v>
      </c>
      <c r="F112" s="2">
        <f t="shared" si="6"/>
        <v>-297.91144186046517</v>
      </c>
      <c r="G112">
        <f t="shared" si="7"/>
        <v>1082.5480465116279</v>
      </c>
      <c r="H112" s="12">
        <f t="shared" si="8"/>
        <v>88751.227191381317</v>
      </c>
      <c r="I112">
        <f t="shared" si="9"/>
        <v>-322503.44941950898</v>
      </c>
    </row>
    <row r="113" spans="1:9" x14ac:dyDescent="0.2">
      <c r="A113">
        <v>112</v>
      </c>
      <c r="B113">
        <v>1000</v>
      </c>
      <c r="C113">
        <v>1000</v>
      </c>
      <c r="D113">
        <f t="shared" si="5"/>
        <v>964.59186709296353</v>
      </c>
      <c r="F113" s="2">
        <f t="shared" si="6"/>
        <v>-297.91144186046517</v>
      </c>
      <c r="G113">
        <f t="shared" si="7"/>
        <v>33.548046511627831</v>
      </c>
      <c r="H113" s="12">
        <f t="shared" si="8"/>
        <v>88751.227191381317</v>
      </c>
      <c r="I113">
        <f t="shared" si="9"/>
        <v>-9994.3469078809958</v>
      </c>
    </row>
    <row r="114" spans="1:9" x14ac:dyDescent="0.2">
      <c r="A114">
        <v>113</v>
      </c>
      <c r="B114">
        <v>1000</v>
      </c>
      <c r="C114">
        <v>720</v>
      </c>
      <c r="D114">
        <f t="shared" si="5"/>
        <v>964.59186709296353</v>
      </c>
      <c r="F114" s="2">
        <f t="shared" si="6"/>
        <v>-297.91144186046517</v>
      </c>
      <c r="G114">
        <f t="shared" si="7"/>
        <v>-246.45195348837217</v>
      </c>
      <c r="H114" s="12">
        <f t="shared" si="8"/>
        <v>88751.227191381317</v>
      </c>
      <c r="I114">
        <f t="shared" si="9"/>
        <v>73420.856813049249</v>
      </c>
    </row>
    <row r="115" spans="1:9" x14ac:dyDescent="0.2">
      <c r="A115">
        <v>114</v>
      </c>
      <c r="B115">
        <v>1000</v>
      </c>
      <c r="C115">
        <v>560</v>
      </c>
      <c r="D115">
        <f t="shared" si="5"/>
        <v>964.59186709296353</v>
      </c>
      <c r="F115" s="2">
        <f t="shared" si="6"/>
        <v>-297.91144186046517</v>
      </c>
      <c r="G115">
        <f t="shared" si="7"/>
        <v>-406.45195348837217</v>
      </c>
      <c r="H115" s="12">
        <f t="shared" si="8"/>
        <v>88751.227191381317</v>
      </c>
      <c r="I115">
        <f t="shared" si="9"/>
        <v>121086.68751072368</v>
      </c>
    </row>
    <row r="116" spans="1:9" x14ac:dyDescent="0.2">
      <c r="A116">
        <v>115</v>
      </c>
      <c r="B116">
        <v>1000</v>
      </c>
      <c r="C116">
        <v>1000</v>
      </c>
      <c r="D116">
        <f t="shared" si="5"/>
        <v>964.59186709296353</v>
      </c>
      <c r="F116" s="2">
        <f t="shared" si="6"/>
        <v>-297.91144186046517</v>
      </c>
      <c r="G116">
        <f t="shared" si="7"/>
        <v>33.548046511627831</v>
      </c>
      <c r="H116" s="12">
        <f t="shared" si="8"/>
        <v>88751.227191381317</v>
      </c>
      <c r="I116">
        <f t="shared" si="9"/>
        <v>-9994.3469078809958</v>
      </c>
    </row>
    <row r="117" spans="1:9" x14ac:dyDescent="0.2">
      <c r="A117">
        <v>116</v>
      </c>
      <c r="B117">
        <v>1000</v>
      </c>
      <c r="C117">
        <v>1200</v>
      </c>
      <c r="D117">
        <f t="shared" si="5"/>
        <v>964.59186709296353</v>
      </c>
      <c r="F117" s="2">
        <f t="shared" si="6"/>
        <v>-297.91144186046517</v>
      </c>
      <c r="G117">
        <f t="shared" si="7"/>
        <v>233.54804651162783</v>
      </c>
      <c r="H117" s="12">
        <f t="shared" si="8"/>
        <v>88751.227191381317</v>
      </c>
      <c r="I117">
        <f t="shared" si="9"/>
        <v>-69576.635279974027</v>
      </c>
    </row>
    <row r="118" spans="1:9" x14ac:dyDescent="0.2">
      <c r="A118">
        <v>117</v>
      </c>
      <c r="B118">
        <v>1000</v>
      </c>
      <c r="C118">
        <v>1100</v>
      </c>
      <c r="D118">
        <f t="shared" si="5"/>
        <v>964.59186709296353</v>
      </c>
      <c r="F118" s="2">
        <f t="shared" si="6"/>
        <v>-297.91144186046517</v>
      </c>
      <c r="G118">
        <f t="shared" si="7"/>
        <v>133.54804651162783</v>
      </c>
      <c r="H118" s="12">
        <f t="shared" si="8"/>
        <v>88751.227191381317</v>
      </c>
      <c r="I118">
        <f t="shared" si="9"/>
        <v>-39785.491093927514</v>
      </c>
    </row>
    <row r="119" spans="1:9" x14ac:dyDescent="0.2">
      <c r="A119">
        <v>118</v>
      </c>
      <c r="B119">
        <v>1000</v>
      </c>
      <c r="C119">
        <v>1200</v>
      </c>
      <c r="D119">
        <f t="shared" si="5"/>
        <v>964.59186709296353</v>
      </c>
      <c r="F119" s="2">
        <f t="shared" si="6"/>
        <v>-297.91144186046517</v>
      </c>
      <c r="G119">
        <f t="shared" si="7"/>
        <v>233.54804651162783</v>
      </c>
      <c r="H119" s="12">
        <f t="shared" si="8"/>
        <v>88751.227191381317</v>
      </c>
      <c r="I119">
        <f t="shared" si="9"/>
        <v>-69576.635279974027</v>
      </c>
    </row>
    <row r="120" spans="1:9" x14ac:dyDescent="0.2">
      <c r="A120">
        <v>119</v>
      </c>
      <c r="B120">
        <v>1000</v>
      </c>
      <c r="C120" s="2">
        <v>1000</v>
      </c>
      <c r="D120">
        <f t="shared" si="5"/>
        <v>964.59186709296353</v>
      </c>
      <c r="F120" s="2">
        <f t="shared" si="6"/>
        <v>-297.91144186046517</v>
      </c>
      <c r="G120">
        <f t="shared" si="7"/>
        <v>33.548046511627831</v>
      </c>
      <c r="H120" s="12">
        <f t="shared" si="8"/>
        <v>88751.227191381317</v>
      </c>
      <c r="I120">
        <f t="shared" si="9"/>
        <v>-9994.3469078809958</v>
      </c>
    </row>
    <row r="121" spans="1:9" x14ac:dyDescent="0.2">
      <c r="A121">
        <v>120</v>
      </c>
      <c r="B121">
        <v>1000</v>
      </c>
      <c r="C121">
        <v>800</v>
      </c>
      <c r="D121">
        <f t="shared" si="5"/>
        <v>964.59186709296353</v>
      </c>
      <c r="F121" s="2">
        <f t="shared" si="6"/>
        <v>-297.91144186046517</v>
      </c>
      <c r="G121">
        <f t="shared" si="7"/>
        <v>-166.45195348837217</v>
      </c>
      <c r="H121" s="12">
        <f t="shared" si="8"/>
        <v>88751.227191381317</v>
      </c>
      <c r="I121">
        <f t="shared" si="9"/>
        <v>49587.941464212039</v>
      </c>
    </row>
    <row r="122" spans="1:9" x14ac:dyDescent="0.2">
      <c r="A122">
        <v>121</v>
      </c>
      <c r="B122">
        <v>1000</v>
      </c>
      <c r="C122">
        <v>925</v>
      </c>
      <c r="D122">
        <f t="shared" si="5"/>
        <v>964.59186709296353</v>
      </c>
      <c r="F122" s="2">
        <f t="shared" si="6"/>
        <v>-297.91144186046517</v>
      </c>
      <c r="G122">
        <f t="shared" si="7"/>
        <v>-41.451953488372169</v>
      </c>
      <c r="H122" s="12">
        <f t="shared" si="8"/>
        <v>88751.227191381317</v>
      </c>
      <c r="I122">
        <f t="shared" si="9"/>
        <v>12349.011231653893</v>
      </c>
    </row>
    <row r="123" spans="1:9" x14ac:dyDescent="0.2">
      <c r="A123">
        <v>122</v>
      </c>
      <c r="B123">
        <v>1000</v>
      </c>
      <c r="C123">
        <v>750</v>
      </c>
      <c r="D123">
        <f t="shared" si="5"/>
        <v>964.59186709296353</v>
      </c>
      <c r="F123" s="2">
        <f t="shared" si="6"/>
        <v>-297.91144186046517</v>
      </c>
      <c r="G123">
        <f t="shared" si="7"/>
        <v>-216.45195348837217</v>
      </c>
      <c r="H123" s="12">
        <f t="shared" si="8"/>
        <v>88751.227191381317</v>
      </c>
      <c r="I123">
        <f t="shared" si="9"/>
        <v>64483.513557235296</v>
      </c>
    </row>
    <row r="124" spans="1:9" x14ac:dyDescent="0.2">
      <c r="A124">
        <v>123</v>
      </c>
      <c r="B124">
        <v>1000</v>
      </c>
      <c r="C124">
        <v>750</v>
      </c>
      <c r="D124">
        <f t="shared" si="5"/>
        <v>964.59186709296353</v>
      </c>
      <c r="F124" s="2">
        <f t="shared" si="6"/>
        <v>-297.91144186046517</v>
      </c>
      <c r="G124">
        <f t="shared" si="7"/>
        <v>-216.45195348837217</v>
      </c>
      <c r="H124" s="12">
        <f t="shared" si="8"/>
        <v>88751.227191381317</v>
      </c>
      <c r="I124">
        <f t="shared" si="9"/>
        <v>64483.513557235296</v>
      </c>
    </row>
    <row r="125" spans="1:9" x14ac:dyDescent="0.2">
      <c r="A125">
        <v>124</v>
      </c>
      <c r="B125">
        <v>1000</v>
      </c>
      <c r="C125">
        <v>869</v>
      </c>
      <c r="D125">
        <f t="shared" si="5"/>
        <v>964.59186709296353</v>
      </c>
      <c r="F125" s="2">
        <f t="shared" si="6"/>
        <v>-297.91144186046517</v>
      </c>
      <c r="G125">
        <f t="shared" si="7"/>
        <v>-97.451953488372169</v>
      </c>
      <c r="H125" s="12">
        <f t="shared" si="8"/>
        <v>88751.227191381317</v>
      </c>
      <c r="I125">
        <f t="shared" si="9"/>
        <v>29032.051975839942</v>
      </c>
    </row>
    <row r="126" spans="1:9" x14ac:dyDescent="0.2">
      <c r="A126">
        <v>125</v>
      </c>
      <c r="B126">
        <v>1000</v>
      </c>
      <c r="C126">
        <v>1400</v>
      </c>
      <c r="D126">
        <f t="shared" si="5"/>
        <v>964.59186709296353</v>
      </c>
      <c r="F126" s="2">
        <f t="shared" si="6"/>
        <v>-297.91144186046517</v>
      </c>
      <c r="G126">
        <f t="shared" si="7"/>
        <v>433.54804651162783</v>
      </c>
      <c r="H126" s="12">
        <f t="shared" si="8"/>
        <v>88751.227191381317</v>
      </c>
      <c r="I126">
        <f t="shared" si="9"/>
        <v>-129158.92365206707</v>
      </c>
    </row>
    <row r="127" spans="1:9" x14ac:dyDescent="0.2">
      <c r="A127">
        <v>126</v>
      </c>
      <c r="B127">
        <v>1000</v>
      </c>
      <c r="C127">
        <v>1250</v>
      </c>
      <c r="D127">
        <f t="shared" si="5"/>
        <v>964.59186709296353</v>
      </c>
      <c r="F127" s="2">
        <f t="shared" si="6"/>
        <v>-297.91144186046517</v>
      </c>
      <c r="G127">
        <f t="shared" si="7"/>
        <v>283.54804651162783</v>
      </c>
      <c r="H127" s="12">
        <f t="shared" si="8"/>
        <v>88751.227191381317</v>
      </c>
      <c r="I127">
        <f t="shared" si="9"/>
        <v>-84472.207372997291</v>
      </c>
    </row>
    <row r="128" spans="1:9" x14ac:dyDescent="0.2">
      <c r="A128">
        <v>127</v>
      </c>
      <c r="B128">
        <v>1000</v>
      </c>
      <c r="C128">
        <v>1090</v>
      </c>
      <c r="D128">
        <f t="shared" si="5"/>
        <v>964.59186709296353</v>
      </c>
      <c r="F128" s="2">
        <f t="shared" si="6"/>
        <v>-297.91144186046517</v>
      </c>
      <c r="G128">
        <f t="shared" si="7"/>
        <v>123.54804651162783</v>
      </c>
      <c r="H128" s="12">
        <f t="shared" si="8"/>
        <v>88751.227191381317</v>
      </c>
      <c r="I128">
        <f t="shared" si="9"/>
        <v>-36806.376675322863</v>
      </c>
    </row>
    <row r="129" spans="1:9" x14ac:dyDescent="0.2">
      <c r="A129">
        <v>128</v>
      </c>
      <c r="B129">
        <v>920</v>
      </c>
      <c r="C129">
        <v>350</v>
      </c>
      <c r="D129">
        <f t="shared" si="5"/>
        <v>964.09236660146371</v>
      </c>
      <c r="F129" s="2">
        <f t="shared" si="6"/>
        <v>-377.91144186046517</v>
      </c>
      <c r="G129">
        <f t="shared" si="7"/>
        <v>-616.45195348837217</v>
      </c>
      <c r="H129" s="12">
        <f t="shared" si="8"/>
        <v>142817.05788905575</v>
      </c>
      <c r="I129">
        <f t="shared" si="9"/>
        <v>232964.24658049113</v>
      </c>
    </row>
    <row r="130" spans="1:9" x14ac:dyDescent="0.2">
      <c r="A130">
        <v>129</v>
      </c>
      <c r="B130">
        <v>920</v>
      </c>
      <c r="C130">
        <v>4109</v>
      </c>
      <c r="D130">
        <f t="shared" si="5"/>
        <v>964.09236660146371</v>
      </c>
      <c r="F130" s="2">
        <f t="shared" si="6"/>
        <v>-377.91144186046517</v>
      </c>
      <c r="G130">
        <f t="shared" si="7"/>
        <v>3142.5480465116279</v>
      </c>
      <c r="H130" s="12">
        <f t="shared" si="8"/>
        <v>142817.05788905575</v>
      </c>
      <c r="I130">
        <f t="shared" si="9"/>
        <v>-1187604.8633729974</v>
      </c>
    </row>
    <row r="131" spans="1:9" x14ac:dyDescent="0.2">
      <c r="A131">
        <v>130</v>
      </c>
      <c r="B131">
        <v>900</v>
      </c>
      <c r="C131">
        <v>720</v>
      </c>
      <c r="D131">
        <f t="shared" ref="D131:D194" si="10">$H$223+($H$222*B131)</f>
        <v>963.96749147858884</v>
      </c>
      <c r="F131" s="2">
        <f t="shared" ref="F131:F194" si="11">B131-$B$218</f>
        <v>-397.91144186046517</v>
      </c>
      <c r="G131">
        <f t="shared" ref="G131:G194" si="12">C131-$C$218</f>
        <v>-246.45195348837217</v>
      </c>
      <c r="H131" s="12">
        <f t="shared" ref="H131:H194" si="13">(F131)^2</f>
        <v>158333.51556347436</v>
      </c>
      <c r="I131">
        <f t="shared" ref="I131:I194" si="14">F131*G131</f>
        <v>98066.052161886473</v>
      </c>
    </row>
    <row r="132" spans="1:9" x14ac:dyDescent="0.2">
      <c r="A132">
        <v>131</v>
      </c>
      <c r="B132">
        <v>816</v>
      </c>
      <c r="C132">
        <v>500</v>
      </c>
      <c r="D132">
        <f t="shared" si="10"/>
        <v>963.4430159625141</v>
      </c>
      <c r="F132" s="2">
        <f t="shared" si="11"/>
        <v>-481.91144186046517</v>
      </c>
      <c r="G132">
        <f t="shared" si="12"/>
        <v>-466.45195348837217</v>
      </c>
      <c r="H132" s="12">
        <f t="shared" si="13"/>
        <v>232238.6377960325</v>
      </c>
      <c r="I132">
        <f t="shared" si="14"/>
        <v>224788.53346421206</v>
      </c>
    </row>
    <row r="133" spans="1:9" x14ac:dyDescent="0.2">
      <c r="A133">
        <v>132</v>
      </c>
      <c r="B133">
        <v>800</v>
      </c>
      <c r="C133">
        <v>1200</v>
      </c>
      <c r="D133">
        <f t="shared" si="10"/>
        <v>963.34311586421416</v>
      </c>
      <c r="F133" s="2">
        <f t="shared" si="11"/>
        <v>-497.91144186046517</v>
      </c>
      <c r="G133">
        <f t="shared" si="12"/>
        <v>233.54804651162783</v>
      </c>
      <c r="H133" s="12">
        <f t="shared" si="13"/>
        <v>247915.80393556738</v>
      </c>
      <c r="I133">
        <f t="shared" si="14"/>
        <v>-116286.24458229959</v>
      </c>
    </row>
    <row r="134" spans="1:9" x14ac:dyDescent="0.2">
      <c r="A134">
        <v>133</v>
      </c>
      <c r="B134">
        <v>800</v>
      </c>
      <c r="C134" s="2">
        <v>1200</v>
      </c>
      <c r="D134">
        <f t="shared" si="10"/>
        <v>963.34311586421416</v>
      </c>
      <c r="F134" s="2">
        <f t="shared" si="11"/>
        <v>-497.91144186046517</v>
      </c>
      <c r="G134">
        <f t="shared" si="12"/>
        <v>233.54804651162783</v>
      </c>
      <c r="H134" s="12">
        <f t="shared" si="13"/>
        <v>247915.80393556738</v>
      </c>
      <c r="I134">
        <f t="shared" si="14"/>
        <v>-116286.24458229959</v>
      </c>
    </row>
    <row r="135" spans="1:9" x14ac:dyDescent="0.2">
      <c r="A135">
        <v>134</v>
      </c>
      <c r="B135">
        <v>800</v>
      </c>
      <c r="C135">
        <v>1200</v>
      </c>
      <c r="D135">
        <f t="shared" si="10"/>
        <v>963.34311586421416</v>
      </c>
      <c r="F135" s="2">
        <f t="shared" si="11"/>
        <v>-497.91144186046517</v>
      </c>
      <c r="G135">
        <f t="shared" si="12"/>
        <v>233.54804651162783</v>
      </c>
      <c r="H135" s="12">
        <f t="shared" si="13"/>
        <v>247915.80393556738</v>
      </c>
      <c r="I135">
        <f t="shared" si="14"/>
        <v>-116286.24458229959</v>
      </c>
    </row>
    <row r="136" spans="1:9" x14ac:dyDescent="0.2">
      <c r="A136">
        <v>135</v>
      </c>
      <c r="B136">
        <v>800</v>
      </c>
      <c r="C136">
        <v>850</v>
      </c>
      <c r="D136">
        <f t="shared" si="10"/>
        <v>963.34311586421416</v>
      </c>
      <c r="F136" s="2">
        <f t="shared" si="11"/>
        <v>-497.91144186046517</v>
      </c>
      <c r="G136">
        <f t="shared" si="12"/>
        <v>-116.45195348837217</v>
      </c>
      <c r="H136" s="12">
        <f t="shared" si="13"/>
        <v>247915.80393556738</v>
      </c>
      <c r="I136">
        <f t="shared" si="14"/>
        <v>57982.760068863216</v>
      </c>
    </row>
    <row r="137" spans="1:9" x14ac:dyDescent="0.2">
      <c r="A137">
        <v>136</v>
      </c>
      <c r="B137">
        <v>800</v>
      </c>
      <c r="C137">
        <v>1400</v>
      </c>
      <c r="D137">
        <f t="shared" si="10"/>
        <v>963.34311586421416</v>
      </c>
      <c r="F137" s="2">
        <f t="shared" si="11"/>
        <v>-497.91144186046517</v>
      </c>
      <c r="G137">
        <f t="shared" si="12"/>
        <v>433.54804651162783</v>
      </c>
      <c r="H137" s="12">
        <f t="shared" si="13"/>
        <v>247915.80393556738</v>
      </c>
      <c r="I137">
        <f t="shared" si="14"/>
        <v>-215868.53295439263</v>
      </c>
    </row>
    <row r="138" spans="1:9" x14ac:dyDescent="0.2">
      <c r="A138">
        <v>137</v>
      </c>
      <c r="B138">
        <v>800</v>
      </c>
      <c r="C138">
        <v>1000</v>
      </c>
      <c r="D138">
        <f t="shared" si="10"/>
        <v>963.34311586421416</v>
      </c>
      <c r="F138" s="2">
        <f t="shared" si="11"/>
        <v>-497.91144186046517</v>
      </c>
      <c r="G138">
        <f t="shared" si="12"/>
        <v>33.548046511627831</v>
      </c>
      <c r="H138" s="12">
        <f t="shared" si="13"/>
        <v>247915.80393556738</v>
      </c>
      <c r="I138">
        <f t="shared" si="14"/>
        <v>-16703.956210206561</v>
      </c>
    </row>
    <row r="139" spans="1:9" x14ac:dyDescent="0.2">
      <c r="A139">
        <v>138</v>
      </c>
      <c r="B139">
        <v>800</v>
      </c>
      <c r="C139">
        <v>860</v>
      </c>
      <c r="D139">
        <f t="shared" si="10"/>
        <v>963.34311586421416</v>
      </c>
      <c r="F139" s="2">
        <f t="shared" si="11"/>
        <v>-497.91144186046517</v>
      </c>
      <c r="G139">
        <f t="shared" si="12"/>
        <v>-106.45195348837217</v>
      </c>
      <c r="H139" s="12">
        <f t="shared" si="13"/>
        <v>247915.80393556738</v>
      </c>
      <c r="I139">
        <f t="shared" si="14"/>
        <v>53003.645650258564</v>
      </c>
    </row>
    <row r="140" spans="1:9" x14ac:dyDescent="0.2">
      <c r="A140">
        <v>139</v>
      </c>
      <c r="B140">
        <v>800</v>
      </c>
      <c r="C140">
        <v>750</v>
      </c>
      <c r="D140">
        <f t="shared" si="10"/>
        <v>963.34311586421416</v>
      </c>
      <c r="F140" s="2">
        <f t="shared" si="11"/>
        <v>-497.91144186046517</v>
      </c>
      <c r="G140">
        <f t="shared" si="12"/>
        <v>-216.45195348837217</v>
      </c>
      <c r="H140" s="12">
        <f t="shared" si="13"/>
        <v>247915.80393556738</v>
      </c>
      <c r="I140">
        <f t="shared" si="14"/>
        <v>107773.90425490974</v>
      </c>
    </row>
    <row r="141" spans="1:9" x14ac:dyDescent="0.2">
      <c r="A141">
        <v>140</v>
      </c>
      <c r="B141">
        <v>750</v>
      </c>
      <c r="C141">
        <v>2000</v>
      </c>
      <c r="D141">
        <f t="shared" si="10"/>
        <v>963.03092805702681</v>
      </c>
      <c r="F141" s="2">
        <f t="shared" si="11"/>
        <v>-547.91144186046517</v>
      </c>
      <c r="G141">
        <f t="shared" si="12"/>
        <v>1033.5480465116279</v>
      </c>
      <c r="H141" s="12">
        <f t="shared" si="13"/>
        <v>300206.94812161388</v>
      </c>
      <c r="I141">
        <f t="shared" si="14"/>
        <v>-566292.80039625324</v>
      </c>
    </row>
    <row r="142" spans="1:9" x14ac:dyDescent="0.2">
      <c r="A142">
        <v>141</v>
      </c>
      <c r="B142">
        <v>750</v>
      </c>
      <c r="C142">
        <v>500</v>
      </c>
      <c r="D142">
        <f t="shared" si="10"/>
        <v>963.03092805702681</v>
      </c>
      <c r="F142" s="2">
        <f t="shared" si="11"/>
        <v>-547.91144186046517</v>
      </c>
      <c r="G142">
        <f t="shared" si="12"/>
        <v>-466.45195348837217</v>
      </c>
      <c r="H142" s="12">
        <f t="shared" si="13"/>
        <v>300206.94812161388</v>
      </c>
      <c r="I142">
        <f t="shared" si="14"/>
        <v>255574.36239444464</v>
      </c>
    </row>
    <row r="143" spans="1:9" x14ac:dyDescent="0.2">
      <c r="A143">
        <v>142</v>
      </c>
      <c r="B143">
        <v>750</v>
      </c>
      <c r="C143">
        <v>1000</v>
      </c>
      <c r="D143">
        <f t="shared" si="10"/>
        <v>963.03092805702681</v>
      </c>
      <c r="F143" s="2">
        <f t="shared" si="11"/>
        <v>-547.91144186046517</v>
      </c>
      <c r="G143">
        <f t="shared" si="12"/>
        <v>33.548046511627831</v>
      </c>
      <c r="H143" s="12">
        <f t="shared" si="13"/>
        <v>300206.94812161388</v>
      </c>
      <c r="I143">
        <f t="shared" si="14"/>
        <v>-18381.358535787953</v>
      </c>
    </row>
    <row r="144" spans="1:9" x14ac:dyDescent="0.2">
      <c r="A144">
        <v>143</v>
      </c>
      <c r="B144">
        <v>720</v>
      </c>
      <c r="C144">
        <v>1000</v>
      </c>
      <c r="D144">
        <f t="shared" si="10"/>
        <v>962.84361537271445</v>
      </c>
      <c r="F144" s="2">
        <f t="shared" si="11"/>
        <v>-577.91144186046517</v>
      </c>
      <c r="G144">
        <f t="shared" si="12"/>
        <v>33.548046511627831</v>
      </c>
      <c r="H144" s="12">
        <f t="shared" si="13"/>
        <v>333981.6346332418</v>
      </c>
      <c r="I144">
        <f t="shared" si="14"/>
        <v>-19387.799931136789</v>
      </c>
    </row>
    <row r="145" spans="1:9" x14ac:dyDescent="0.2">
      <c r="A145">
        <v>144</v>
      </c>
      <c r="B145">
        <v>700</v>
      </c>
      <c r="C145">
        <v>583</v>
      </c>
      <c r="D145">
        <f t="shared" si="10"/>
        <v>962.71874024983947</v>
      </c>
      <c r="F145" s="2">
        <f t="shared" si="11"/>
        <v>-597.91144186046517</v>
      </c>
      <c r="G145">
        <f t="shared" si="12"/>
        <v>-383.45195348837217</v>
      </c>
      <c r="H145" s="12">
        <f t="shared" si="13"/>
        <v>357498.09230766044</v>
      </c>
      <c r="I145">
        <f t="shared" si="14"/>
        <v>229270.31039444462</v>
      </c>
    </row>
    <row r="146" spans="1:9" x14ac:dyDescent="0.2">
      <c r="A146">
        <v>145</v>
      </c>
      <c r="B146">
        <v>700</v>
      </c>
      <c r="C146">
        <v>1100</v>
      </c>
      <c r="D146">
        <f t="shared" si="10"/>
        <v>962.71874024983947</v>
      </c>
      <c r="F146" s="2">
        <f t="shared" si="11"/>
        <v>-597.91144186046517</v>
      </c>
      <c r="G146">
        <f t="shared" si="12"/>
        <v>133.54804651162783</v>
      </c>
      <c r="H146" s="12">
        <f t="shared" si="13"/>
        <v>357498.09230766044</v>
      </c>
      <c r="I146">
        <f t="shared" si="14"/>
        <v>-79849.905047415858</v>
      </c>
    </row>
    <row r="147" spans="1:9" x14ac:dyDescent="0.2">
      <c r="A147">
        <v>146</v>
      </c>
      <c r="B147">
        <v>700</v>
      </c>
      <c r="C147">
        <v>700</v>
      </c>
      <c r="D147">
        <f t="shared" si="10"/>
        <v>962.71874024983947</v>
      </c>
      <c r="F147" s="2">
        <f t="shared" si="11"/>
        <v>-597.91144186046517</v>
      </c>
      <c r="G147">
        <f t="shared" si="12"/>
        <v>-266.45195348837217</v>
      </c>
      <c r="H147" s="12">
        <f t="shared" si="13"/>
        <v>357498.09230766044</v>
      </c>
      <c r="I147">
        <f t="shared" si="14"/>
        <v>159314.67169677021</v>
      </c>
    </row>
    <row r="148" spans="1:9" x14ac:dyDescent="0.2">
      <c r="A148">
        <v>147</v>
      </c>
      <c r="B148">
        <v>700</v>
      </c>
      <c r="C148" s="2">
        <v>1250</v>
      </c>
      <c r="D148">
        <f t="shared" si="10"/>
        <v>962.71874024983947</v>
      </c>
      <c r="F148" s="2">
        <f t="shared" si="11"/>
        <v>-597.91144186046517</v>
      </c>
      <c r="G148">
        <f t="shared" si="12"/>
        <v>283.54804651162783</v>
      </c>
      <c r="H148" s="12">
        <f t="shared" si="13"/>
        <v>357498.09230766044</v>
      </c>
      <c r="I148">
        <f t="shared" si="14"/>
        <v>-169536.62132648565</v>
      </c>
    </row>
    <row r="149" spans="1:9" x14ac:dyDescent="0.2">
      <c r="A149">
        <v>148</v>
      </c>
      <c r="B149">
        <v>650</v>
      </c>
      <c r="C149">
        <v>850</v>
      </c>
      <c r="D149">
        <f t="shared" si="10"/>
        <v>962.40655244265213</v>
      </c>
      <c r="F149" s="2">
        <f t="shared" si="11"/>
        <v>-647.91144186046517</v>
      </c>
      <c r="G149">
        <f t="shared" si="12"/>
        <v>-116.45195348837217</v>
      </c>
      <c r="H149" s="12">
        <f t="shared" si="13"/>
        <v>419789.23649370694</v>
      </c>
      <c r="I149">
        <f t="shared" si="14"/>
        <v>75450.553092119037</v>
      </c>
    </row>
    <row r="150" spans="1:9" x14ac:dyDescent="0.2">
      <c r="A150">
        <v>149</v>
      </c>
      <c r="B150">
        <v>600</v>
      </c>
      <c r="C150">
        <v>1100</v>
      </c>
      <c r="D150">
        <f t="shared" si="10"/>
        <v>962.0943646354649</v>
      </c>
      <c r="F150" s="2">
        <f t="shared" si="11"/>
        <v>-697.91144186046517</v>
      </c>
      <c r="G150">
        <f t="shared" si="12"/>
        <v>133.54804651162783</v>
      </c>
      <c r="H150" s="12">
        <f t="shared" si="13"/>
        <v>487080.38067975343</v>
      </c>
      <c r="I150">
        <f t="shared" si="14"/>
        <v>-93204.709698578648</v>
      </c>
    </row>
    <row r="151" spans="1:9" x14ac:dyDescent="0.2">
      <c r="A151">
        <v>150</v>
      </c>
      <c r="B151">
        <v>600</v>
      </c>
      <c r="C151">
        <v>200</v>
      </c>
      <c r="D151">
        <f t="shared" si="10"/>
        <v>962.0943646354649</v>
      </c>
      <c r="F151" s="2">
        <f t="shared" si="11"/>
        <v>-697.91144186046517</v>
      </c>
      <c r="G151">
        <f t="shared" si="12"/>
        <v>-766.45195348837217</v>
      </c>
      <c r="H151" s="12">
        <f t="shared" si="13"/>
        <v>487080.38067975343</v>
      </c>
      <c r="I151">
        <f t="shared" si="14"/>
        <v>534915.58797583997</v>
      </c>
    </row>
    <row r="152" spans="1:9" x14ac:dyDescent="0.2">
      <c r="A152">
        <v>151</v>
      </c>
      <c r="B152">
        <v>600</v>
      </c>
      <c r="C152">
        <v>850</v>
      </c>
      <c r="D152">
        <f t="shared" si="10"/>
        <v>962.0943646354649</v>
      </c>
      <c r="F152" s="2">
        <f t="shared" si="11"/>
        <v>-697.91144186046517</v>
      </c>
      <c r="G152">
        <f t="shared" si="12"/>
        <v>-116.45195348837217</v>
      </c>
      <c r="H152" s="12">
        <f t="shared" si="13"/>
        <v>487080.38067975343</v>
      </c>
      <c r="I152">
        <f t="shared" si="14"/>
        <v>81273.150766537641</v>
      </c>
    </row>
    <row r="153" spans="1:9" x14ac:dyDescent="0.2">
      <c r="A153">
        <v>152</v>
      </c>
      <c r="B153">
        <v>600</v>
      </c>
      <c r="C153" s="2">
        <v>1000</v>
      </c>
      <c r="D153">
        <f t="shared" si="10"/>
        <v>962.0943646354649</v>
      </c>
      <c r="F153" s="2">
        <f t="shared" si="11"/>
        <v>-697.91144186046517</v>
      </c>
      <c r="G153">
        <f t="shared" si="12"/>
        <v>33.548046511627831</v>
      </c>
      <c r="H153" s="12">
        <f t="shared" si="13"/>
        <v>487080.38067975343</v>
      </c>
      <c r="I153">
        <f t="shared" si="14"/>
        <v>-23413.565512532128</v>
      </c>
    </row>
    <row r="154" spans="1:9" x14ac:dyDescent="0.2">
      <c r="A154">
        <v>153</v>
      </c>
      <c r="B154">
        <v>600</v>
      </c>
      <c r="C154">
        <v>500</v>
      </c>
      <c r="D154">
        <f t="shared" si="10"/>
        <v>962.0943646354649</v>
      </c>
      <c r="F154" s="2">
        <f t="shared" si="11"/>
        <v>-697.91144186046517</v>
      </c>
      <c r="G154">
        <f t="shared" si="12"/>
        <v>-466.45195348837217</v>
      </c>
      <c r="H154" s="12">
        <f t="shared" si="13"/>
        <v>487080.38067975343</v>
      </c>
      <c r="I154">
        <f t="shared" si="14"/>
        <v>325542.15541770047</v>
      </c>
    </row>
    <row r="155" spans="1:9" x14ac:dyDescent="0.2">
      <c r="A155">
        <v>154</v>
      </c>
      <c r="B155">
        <v>600</v>
      </c>
      <c r="C155">
        <v>969</v>
      </c>
      <c r="D155">
        <f t="shared" si="10"/>
        <v>962.0943646354649</v>
      </c>
      <c r="F155" s="2">
        <f t="shared" si="11"/>
        <v>-697.91144186046517</v>
      </c>
      <c r="G155">
        <f t="shared" si="12"/>
        <v>2.548046511627831</v>
      </c>
      <c r="H155" s="12">
        <f t="shared" si="13"/>
        <v>487080.38067975343</v>
      </c>
      <c r="I155">
        <f t="shared" si="14"/>
        <v>-1778.310814857708</v>
      </c>
    </row>
    <row r="156" spans="1:9" x14ac:dyDescent="0.2">
      <c r="A156">
        <v>155</v>
      </c>
      <c r="B156">
        <v>583</v>
      </c>
      <c r="C156">
        <v>900</v>
      </c>
      <c r="D156">
        <f t="shared" si="10"/>
        <v>961.98822078102114</v>
      </c>
      <c r="F156" s="2">
        <f t="shared" si="11"/>
        <v>-714.91144186046517</v>
      </c>
      <c r="G156">
        <f t="shared" si="12"/>
        <v>-66.451953488372169</v>
      </c>
      <c r="H156" s="12">
        <f t="shared" si="13"/>
        <v>511098.36970300926</v>
      </c>
      <c r="I156">
        <f t="shared" si="14"/>
        <v>47507.261882816718</v>
      </c>
    </row>
    <row r="157" spans="1:9" x14ac:dyDescent="0.2">
      <c r="A157">
        <v>156</v>
      </c>
      <c r="B157">
        <v>540</v>
      </c>
      <c r="C157">
        <v>1000</v>
      </c>
      <c r="D157">
        <f t="shared" si="10"/>
        <v>961.71973926684007</v>
      </c>
      <c r="F157" s="2">
        <f t="shared" si="11"/>
        <v>-757.91144186046517</v>
      </c>
      <c r="G157">
        <f t="shared" si="12"/>
        <v>33.548046511627831</v>
      </c>
      <c r="H157" s="12">
        <f t="shared" si="13"/>
        <v>574429.75370300934</v>
      </c>
      <c r="I157">
        <f t="shared" si="14"/>
        <v>-25426.448303229798</v>
      </c>
    </row>
    <row r="158" spans="1:9" x14ac:dyDescent="0.2">
      <c r="A158">
        <v>157</v>
      </c>
      <c r="B158">
        <v>528</v>
      </c>
      <c r="C158">
        <v>1000</v>
      </c>
      <c r="D158">
        <f t="shared" si="10"/>
        <v>961.64481419311505</v>
      </c>
      <c r="F158" s="2">
        <f t="shared" si="11"/>
        <v>-769.91144186046517</v>
      </c>
      <c r="G158">
        <f t="shared" si="12"/>
        <v>33.548046511627831</v>
      </c>
      <c r="H158" s="12">
        <f t="shared" si="13"/>
        <v>592763.62830766046</v>
      </c>
      <c r="I158">
        <f t="shared" si="14"/>
        <v>-25829.024861369333</v>
      </c>
    </row>
    <row r="159" spans="1:9" x14ac:dyDescent="0.2">
      <c r="A159">
        <v>158</v>
      </c>
      <c r="B159">
        <v>500</v>
      </c>
      <c r="C159">
        <v>1025</v>
      </c>
      <c r="D159">
        <f t="shared" si="10"/>
        <v>961.46998902109021</v>
      </c>
      <c r="F159" s="2">
        <f t="shared" si="11"/>
        <v>-797.91144186046517</v>
      </c>
      <c r="G159">
        <f t="shared" si="12"/>
        <v>58.548046511627831</v>
      </c>
      <c r="H159" s="12">
        <f t="shared" si="13"/>
        <v>636662.66905184649</v>
      </c>
      <c r="I159">
        <f t="shared" si="14"/>
        <v>-46716.156210206544</v>
      </c>
    </row>
    <row r="160" spans="1:9" x14ac:dyDescent="0.2">
      <c r="A160">
        <v>159</v>
      </c>
      <c r="B160">
        <v>500</v>
      </c>
      <c r="C160">
        <v>850</v>
      </c>
      <c r="D160">
        <f t="shared" si="10"/>
        <v>961.46998902109021</v>
      </c>
      <c r="F160" s="2">
        <f t="shared" si="11"/>
        <v>-797.91144186046517</v>
      </c>
      <c r="G160">
        <f t="shared" si="12"/>
        <v>-116.45195348837217</v>
      </c>
      <c r="H160" s="12">
        <f t="shared" si="13"/>
        <v>636662.66905184649</v>
      </c>
      <c r="I160">
        <f t="shared" si="14"/>
        <v>92918.346115374865</v>
      </c>
    </row>
    <row r="161" spans="1:9" x14ac:dyDescent="0.2">
      <c r="A161">
        <v>160</v>
      </c>
      <c r="B161">
        <v>500</v>
      </c>
      <c r="C161">
        <v>955</v>
      </c>
      <c r="D161">
        <f t="shared" si="10"/>
        <v>961.46998902109021</v>
      </c>
      <c r="F161" s="2">
        <f t="shared" si="11"/>
        <v>-797.91144186046517</v>
      </c>
      <c r="G161">
        <f t="shared" si="12"/>
        <v>-11.451953488372169</v>
      </c>
      <c r="H161" s="12">
        <f t="shared" si="13"/>
        <v>636662.66905184649</v>
      </c>
      <c r="I161">
        <f t="shared" si="14"/>
        <v>9137.6447200260209</v>
      </c>
    </row>
    <row r="162" spans="1:9" x14ac:dyDescent="0.2">
      <c r="A162">
        <v>161</v>
      </c>
      <c r="B162">
        <v>500</v>
      </c>
      <c r="C162">
        <v>860</v>
      </c>
      <c r="D162">
        <f t="shared" si="10"/>
        <v>961.46998902109021</v>
      </c>
      <c r="F162" s="2">
        <f t="shared" si="11"/>
        <v>-797.91144186046517</v>
      </c>
      <c r="G162">
        <f t="shared" si="12"/>
        <v>-106.45195348837217</v>
      </c>
      <c r="H162" s="12">
        <f t="shared" si="13"/>
        <v>636662.66905184649</v>
      </c>
      <c r="I162">
        <f t="shared" si="14"/>
        <v>84939.231696770206</v>
      </c>
    </row>
    <row r="163" spans="1:9" x14ac:dyDescent="0.2">
      <c r="A163">
        <v>162</v>
      </c>
      <c r="B163">
        <v>500</v>
      </c>
      <c r="C163">
        <v>1345</v>
      </c>
      <c r="D163">
        <f t="shared" si="10"/>
        <v>961.46998902109021</v>
      </c>
      <c r="F163" s="2">
        <f t="shared" si="11"/>
        <v>-797.91144186046517</v>
      </c>
      <c r="G163">
        <f t="shared" si="12"/>
        <v>378.54804651162783</v>
      </c>
      <c r="H163" s="12">
        <f t="shared" si="13"/>
        <v>636662.66905184649</v>
      </c>
      <c r="I163">
        <f t="shared" si="14"/>
        <v>-302047.81760555541</v>
      </c>
    </row>
    <row r="164" spans="1:9" x14ac:dyDescent="0.2">
      <c r="A164">
        <v>163</v>
      </c>
      <c r="B164">
        <v>500</v>
      </c>
      <c r="C164">
        <v>1050</v>
      </c>
      <c r="D164">
        <f t="shared" si="10"/>
        <v>961.46998902109021</v>
      </c>
      <c r="F164" s="2">
        <f t="shared" si="11"/>
        <v>-797.91144186046517</v>
      </c>
      <c r="G164">
        <f t="shared" si="12"/>
        <v>83.548046511627831</v>
      </c>
      <c r="H164" s="12">
        <f t="shared" si="13"/>
        <v>636662.66905184649</v>
      </c>
      <c r="I164">
        <f t="shared" si="14"/>
        <v>-66663.942256718175</v>
      </c>
    </row>
    <row r="165" spans="1:9" x14ac:dyDescent="0.2">
      <c r="A165">
        <v>164</v>
      </c>
      <c r="B165">
        <v>500</v>
      </c>
      <c r="C165">
        <v>1200</v>
      </c>
      <c r="D165">
        <f t="shared" si="10"/>
        <v>961.46998902109021</v>
      </c>
      <c r="F165" s="2">
        <f t="shared" si="11"/>
        <v>-797.91144186046517</v>
      </c>
      <c r="G165">
        <f t="shared" si="12"/>
        <v>233.54804651162783</v>
      </c>
      <c r="H165" s="12">
        <f t="shared" si="13"/>
        <v>636662.66905184649</v>
      </c>
      <c r="I165">
        <f t="shared" si="14"/>
        <v>-186350.65853578795</v>
      </c>
    </row>
    <row r="166" spans="1:9" x14ac:dyDescent="0.2">
      <c r="A166">
        <v>165</v>
      </c>
      <c r="B166">
        <v>500</v>
      </c>
      <c r="C166">
        <v>1500</v>
      </c>
      <c r="D166">
        <f t="shared" si="10"/>
        <v>961.46998902109021</v>
      </c>
      <c r="F166" s="2">
        <f t="shared" si="11"/>
        <v>-797.91144186046517</v>
      </c>
      <c r="G166">
        <f t="shared" si="12"/>
        <v>533.54804651162783</v>
      </c>
      <c r="H166" s="12">
        <f t="shared" si="13"/>
        <v>636662.66905184649</v>
      </c>
      <c r="I166">
        <f t="shared" si="14"/>
        <v>-425724.09109392751</v>
      </c>
    </row>
    <row r="167" spans="1:9" x14ac:dyDescent="0.2">
      <c r="A167">
        <v>166</v>
      </c>
      <c r="B167">
        <v>500</v>
      </c>
      <c r="C167">
        <v>860</v>
      </c>
      <c r="D167">
        <f t="shared" si="10"/>
        <v>961.46998902109021</v>
      </c>
      <c r="F167" s="2">
        <f t="shared" si="11"/>
        <v>-797.91144186046517</v>
      </c>
      <c r="G167">
        <f t="shared" si="12"/>
        <v>-106.45195348837217</v>
      </c>
      <c r="H167" s="12">
        <f t="shared" si="13"/>
        <v>636662.66905184649</v>
      </c>
      <c r="I167">
        <f t="shared" si="14"/>
        <v>84939.231696770206</v>
      </c>
    </row>
    <row r="168" spans="1:9" x14ac:dyDescent="0.2">
      <c r="A168">
        <v>167</v>
      </c>
      <c r="B168">
        <v>500</v>
      </c>
      <c r="C168">
        <v>500</v>
      </c>
      <c r="D168">
        <f t="shared" si="10"/>
        <v>961.46998902109021</v>
      </c>
      <c r="F168" s="2">
        <f t="shared" si="11"/>
        <v>-797.91144186046517</v>
      </c>
      <c r="G168">
        <f t="shared" si="12"/>
        <v>-466.45195348837217</v>
      </c>
      <c r="H168" s="12">
        <f t="shared" si="13"/>
        <v>636662.66905184649</v>
      </c>
      <c r="I168">
        <f t="shared" si="14"/>
        <v>372187.35076653765</v>
      </c>
    </row>
    <row r="169" spans="1:9" x14ac:dyDescent="0.2">
      <c r="A169">
        <v>168</v>
      </c>
      <c r="B169">
        <v>500</v>
      </c>
      <c r="C169">
        <v>941.5</v>
      </c>
      <c r="D169">
        <f t="shared" si="10"/>
        <v>961.46998902109021</v>
      </c>
      <c r="F169" s="2">
        <f t="shared" si="11"/>
        <v>-797.91144186046517</v>
      </c>
      <c r="G169">
        <f t="shared" si="12"/>
        <v>-24.951953488372169</v>
      </c>
      <c r="H169" s="12">
        <f t="shared" si="13"/>
        <v>636662.66905184649</v>
      </c>
      <c r="I169">
        <f t="shared" si="14"/>
        <v>19909.449185142301</v>
      </c>
    </row>
    <row r="170" spans="1:9" x14ac:dyDescent="0.2">
      <c r="A170">
        <v>169</v>
      </c>
      <c r="B170">
        <v>500</v>
      </c>
      <c r="C170">
        <v>650</v>
      </c>
      <c r="D170">
        <f t="shared" si="10"/>
        <v>961.46998902109021</v>
      </c>
      <c r="F170" s="2">
        <f t="shared" si="11"/>
        <v>-797.91144186046517</v>
      </c>
      <c r="G170">
        <f t="shared" si="12"/>
        <v>-316.45195348837217</v>
      </c>
      <c r="H170" s="12">
        <f t="shared" si="13"/>
        <v>636662.66905184649</v>
      </c>
      <c r="I170">
        <f t="shared" si="14"/>
        <v>252500.63448746791</v>
      </c>
    </row>
    <row r="171" spans="1:9" x14ac:dyDescent="0.2">
      <c r="A171">
        <v>170</v>
      </c>
      <c r="B171">
        <v>500</v>
      </c>
      <c r="C171">
        <v>1200</v>
      </c>
      <c r="D171">
        <f t="shared" si="10"/>
        <v>961.46998902109021</v>
      </c>
      <c r="F171" s="2">
        <f t="shared" si="11"/>
        <v>-797.91144186046517</v>
      </c>
      <c r="G171">
        <f t="shared" si="12"/>
        <v>233.54804651162783</v>
      </c>
      <c r="H171" s="12">
        <f t="shared" si="13"/>
        <v>636662.66905184649</v>
      </c>
      <c r="I171">
        <f t="shared" si="14"/>
        <v>-186350.65853578795</v>
      </c>
    </row>
    <row r="172" spans="1:9" x14ac:dyDescent="0.2">
      <c r="A172">
        <v>171</v>
      </c>
      <c r="B172">
        <v>500</v>
      </c>
      <c r="C172">
        <v>600</v>
      </c>
      <c r="D172">
        <f t="shared" si="10"/>
        <v>961.46998902109021</v>
      </c>
      <c r="F172" s="2">
        <f t="shared" si="11"/>
        <v>-797.91144186046517</v>
      </c>
      <c r="G172">
        <f t="shared" si="12"/>
        <v>-366.45195348837217</v>
      </c>
      <c r="H172" s="12">
        <f t="shared" si="13"/>
        <v>636662.66905184649</v>
      </c>
      <c r="I172">
        <f t="shared" si="14"/>
        <v>292396.20658049115</v>
      </c>
    </row>
    <row r="173" spans="1:9" x14ac:dyDescent="0.2">
      <c r="A173">
        <v>172</v>
      </c>
      <c r="B173">
        <v>500</v>
      </c>
      <c r="C173">
        <v>1500</v>
      </c>
      <c r="D173">
        <f t="shared" si="10"/>
        <v>961.46998902109021</v>
      </c>
      <c r="F173" s="2">
        <f t="shared" si="11"/>
        <v>-797.91144186046517</v>
      </c>
      <c r="G173">
        <f t="shared" si="12"/>
        <v>533.54804651162783</v>
      </c>
      <c r="H173" s="12">
        <f t="shared" si="13"/>
        <v>636662.66905184649</v>
      </c>
      <c r="I173">
        <f t="shared" si="14"/>
        <v>-425724.09109392751</v>
      </c>
    </row>
    <row r="174" spans="1:9" x14ac:dyDescent="0.2">
      <c r="A174">
        <v>173</v>
      </c>
      <c r="B174">
        <v>500</v>
      </c>
      <c r="C174">
        <v>1000</v>
      </c>
      <c r="D174">
        <f t="shared" si="10"/>
        <v>961.46998902109021</v>
      </c>
      <c r="F174" s="2">
        <f t="shared" si="11"/>
        <v>-797.91144186046517</v>
      </c>
      <c r="G174">
        <f t="shared" si="12"/>
        <v>33.548046511627831</v>
      </c>
      <c r="H174" s="12">
        <f t="shared" si="13"/>
        <v>636662.66905184649</v>
      </c>
      <c r="I174">
        <f t="shared" si="14"/>
        <v>-26768.370163694912</v>
      </c>
    </row>
    <row r="175" spans="1:9" x14ac:dyDescent="0.2">
      <c r="A175">
        <v>174</v>
      </c>
      <c r="B175">
        <v>500</v>
      </c>
      <c r="C175">
        <v>1300</v>
      </c>
      <c r="D175">
        <f t="shared" si="10"/>
        <v>961.46998902109021</v>
      </c>
      <c r="F175" s="2">
        <f t="shared" si="11"/>
        <v>-797.91144186046517</v>
      </c>
      <c r="G175">
        <f t="shared" si="12"/>
        <v>333.54804651162783</v>
      </c>
      <c r="H175" s="12">
        <f t="shared" si="13"/>
        <v>636662.66905184649</v>
      </c>
      <c r="I175">
        <f t="shared" si="14"/>
        <v>-266141.80272183445</v>
      </c>
    </row>
    <row r="176" spans="1:9" x14ac:dyDescent="0.2">
      <c r="A176">
        <v>175</v>
      </c>
      <c r="B176">
        <v>460</v>
      </c>
      <c r="C176">
        <v>1000</v>
      </c>
      <c r="D176">
        <f t="shared" si="10"/>
        <v>961.22023877534036</v>
      </c>
      <c r="F176" s="2">
        <f t="shared" si="11"/>
        <v>-837.91144186046517</v>
      </c>
      <c r="G176">
        <f t="shared" si="12"/>
        <v>33.548046511627831</v>
      </c>
      <c r="H176" s="12">
        <f t="shared" si="13"/>
        <v>702095.58440068376</v>
      </c>
      <c r="I176">
        <f t="shared" si="14"/>
        <v>-28110.292024160026</v>
      </c>
    </row>
    <row r="177" spans="1:9" x14ac:dyDescent="0.2">
      <c r="A177">
        <v>176</v>
      </c>
      <c r="B177">
        <v>450</v>
      </c>
      <c r="C177">
        <v>950</v>
      </c>
      <c r="D177">
        <f t="shared" si="10"/>
        <v>961.15780121390287</v>
      </c>
      <c r="F177" s="2">
        <f t="shared" si="11"/>
        <v>-847.91144186046517</v>
      </c>
      <c r="G177">
        <f t="shared" si="12"/>
        <v>-16.451953488372169</v>
      </c>
      <c r="H177" s="12">
        <f t="shared" si="13"/>
        <v>718953.81323789305</v>
      </c>
      <c r="I177">
        <f t="shared" si="14"/>
        <v>13949.799603746955</v>
      </c>
    </row>
    <row r="178" spans="1:9" x14ac:dyDescent="0.2">
      <c r="A178">
        <v>177</v>
      </c>
      <c r="B178">
        <v>450</v>
      </c>
      <c r="C178">
        <v>600</v>
      </c>
      <c r="D178">
        <f t="shared" si="10"/>
        <v>961.15780121390287</v>
      </c>
      <c r="F178" s="2">
        <f t="shared" si="11"/>
        <v>-847.91144186046517</v>
      </c>
      <c r="G178">
        <f t="shared" si="12"/>
        <v>-366.45195348837217</v>
      </c>
      <c r="H178" s="12">
        <f t="shared" si="13"/>
        <v>718953.81323789305</v>
      </c>
      <c r="I178">
        <f t="shared" si="14"/>
        <v>310718.80425490974</v>
      </c>
    </row>
    <row r="179" spans="1:9" x14ac:dyDescent="0.2">
      <c r="A179">
        <v>178</v>
      </c>
      <c r="B179">
        <v>450</v>
      </c>
      <c r="C179">
        <v>935</v>
      </c>
      <c r="D179">
        <f t="shared" si="10"/>
        <v>961.15780121390287</v>
      </c>
      <c r="F179" s="2">
        <f t="shared" si="11"/>
        <v>-847.91144186046517</v>
      </c>
      <c r="G179">
        <f t="shared" si="12"/>
        <v>-31.451953488372169</v>
      </c>
      <c r="H179" s="12">
        <f t="shared" si="13"/>
        <v>718953.81323789305</v>
      </c>
      <c r="I179">
        <f t="shared" si="14"/>
        <v>26668.471231653934</v>
      </c>
    </row>
    <row r="180" spans="1:9" x14ac:dyDescent="0.2">
      <c r="A180">
        <v>179</v>
      </c>
      <c r="B180">
        <v>450</v>
      </c>
      <c r="C180">
        <v>400</v>
      </c>
      <c r="D180">
        <f t="shared" si="10"/>
        <v>961.15780121390287</v>
      </c>
      <c r="F180" s="2">
        <f t="shared" si="11"/>
        <v>-847.91144186046517</v>
      </c>
      <c r="G180">
        <f t="shared" si="12"/>
        <v>-566.45195348837217</v>
      </c>
      <c r="H180" s="12">
        <f t="shared" si="13"/>
        <v>718953.81323789305</v>
      </c>
      <c r="I180">
        <f t="shared" si="14"/>
        <v>480301.0926270028</v>
      </c>
    </row>
    <row r="181" spans="1:9" x14ac:dyDescent="0.2">
      <c r="A181">
        <v>180</v>
      </c>
      <c r="B181">
        <v>400</v>
      </c>
      <c r="C181">
        <v>820</v>
      </c>
      <c r="D181">
        <f t="shared" si="10"/>
        <v>960.84561340671553</v>
      </c>
      <c r="F181" s="2">
        <f t="shared" si="11"/>
        <v>-897.91144186046517</v>
      </c>
      <c r="G181">
        <f t="shared" si="12"/>
        <v>-146.45195348837217</v>
      </c>
      <c r="H181" s="12">
        <f t="shared" si="13"/>
        <v>806244.95742393949</v>
      </c>
      <c r="I181">
        <f t="shared" si="14"/>
        <v>131500.88472002605</v>
      </c>
    </row>
    <row r="182" spans="1:9" x14ac:dyDescent="0.2">
      <c r="A182">
        <v>181</v>
      </c>
      <c r="B182">
        <v>400</v>
      </c>
      <c r="C182">
        <v>1100</v>
      </c>
      <c r="D182">
        <f t="shared" si="10"/>
        <v>960.84561340671553</v>
      </c>
      <c r="F182" s="2">
        <f t="shared" si="11"/>
        <v>-897.91144186046517</v>
      </c>
      <c r="G182">
        <f t="shared" si="12"/>
        <v>133.54804651162783</v>
      </c>
      <c r="H182" s="12">
        <f t="shared" si="13"/>
        <v>806244.95742393949</v>
      </c>
      <c r="I182">
        <f t="shared" si="14"/>
        <v>-119914.31900090422</v>
      </c>
    </row>
    <row r="183" spans="1:9" x14ac:dyDescent="0.2">
      <c r="A183">
        <v>182</v>
      </c>
      <c r="B183">
        <v>400</v>
      </c>
      <c r="C183">
        <v>941</v>
      </c>
      <c r="D183">
        <f t="shared" si="10"/>
        <v>960.84561340671553</v>
      </c>
      <c r="F183" s="2">
        <f t="shared" si="11"/>
        <v>-897.91144186046517</v>
      </c>
      <c r="G183">
        <f t="shared" si="12"/>
        <v>-25.451953488372169</v>
      </c>
      <c r="H183" s="12">
        <f t="shared" si="13"/>
        <v>806244.95742393949</v>
      </c>
      <c r="I183">
        <f t="shared" si="14"/>
        <v>22853.60025490975</v>
      </c>
    </row>
    <row r="184" spans="1:9" x14ac:dyDescent="0.2">
      <c r="A184">
        <v>183</v>
      </c>
      <c r="B184">
        <v>400</v>
      </c>
      <c r="C184">
        <v>1500</v>
      </c>
      <c r="D184">
        <f t="shared" si="10"/>
        <v>960.84561340671553</v>
      </c>
      <c r="F184" s="2">
        <f t="shared" si="11"/>
        <v>-897.91144186046517</v>
      </c>
      <c r="G184">
        <f t="shared" si="12"/>
        <v>533.54804651162783</v>
      </c>
      <c r="H184" s="12">
        <f t="shared" si="13"/>
        <v>806244.95742393949</v>
      </c>
      <c r="I184">
        <f t="shared" si="14"/>
        <v>-479078.89574509027</v>
      </c>
    </row>
    <row r="185" spans="1:9" x14ac:dyDescent="0.2">
      <c r="A185">
        <v>184</v>
      </c>
      <c r="B185">
        <v>375</v>
      </c>
      <c r="C185">
        <v>1000</v>
      </c>
      <c r="D185">
        <f t="shared" si="10"/>
        <v>960.68951950312191</v>
      </c>
      <c r="F185" s="2">
        <f t="shared" si="11"/>
        <v>-922.91144186046517</v>
      </c>
      <c r="G185">
        <f t="shared" si="12"/>
        <v>33.548046511627831</v>
      </c>
      <c r="H185" s="12">
        <f t="shared" si="13"/>
        <v>851765.52951696282</v>
      </c>
      <c r="I185">
        <f t="shared" si="14"/>
        <v>-30961.875977648389</v>
      </c>
    </row>
    <row r="186" spans="1:9" x14ac:dyDescent="0.2">
      <c r="A186">
        <v>185</v>
      </c>
      <c r="B186">
        <v>350</v>
      </c>
      <c r="C186">
        <v>1200</v>
      </c>
      <c r="D186">
        <f t="shared" si="10"/>
        <v>960.53342559952819</v>
      </c>
      <c r="F186" s="2">
        <f t="shared" si="11"/>
        <v>-947.91144186046517</v>
      </c>
      <c r="G186">
        <f t="shared" si="12"/>
        <v>233.54804651162783</v>
      </c>
      <c r="H186" s="12">
        <f t="shared" si="13"/>
        <v>898536.10160998604</v>
      </c>
      <c r="I186">
        <f t="shared" si="14"/>
        <v>-221382.86551253212</v>
      </c>
    </row>
    <row r="187" spans="1:9" x14ac:dyDescent="0.2">
      <c r="A187">
        <v>186</v>
      </c>
      <c r="B187">
        <v>350</v>
      </c>
      <c r="C187">
        <v>800</v>
      </c>
      <c r="D187">
        <f t="shared" si="10"/>
        <v>960.53342559952819</v>
      </c>
      <c r="F187" s="2">
        <f t="shared" si="11"/>
        <v>-947.91144186046517</v>
      </c>
      <c r="G187">
        <f t="shared" si="12"/>
        <v>-166.45195348837217</v>
      </c>
      <c r="H187" s="12">
        <f t="shared" si="13"/>
        <v>898536.10160998604</v>
      </c>
      <c r="I187">
        <f t="shared" si="14"/>
        <v>157781.71123165396</v>
      </c>
    </row>
    <row r="188" spans="1:9" x14ac:dyDescent="0.2">
      <c r="A188">
        <v>187</v>
      </c>
      <c r="B188">
        <v>300</v>
      </c>
      <c r="C188">
        <v>800</v>
      </c>
      <c r="D188">
        <f t="shared" si="10"/>
        <v>960.22123779234084</v>
      </c>
      <c r="F188" s="2">
        <f t="shared" si="11"/>
        <v>-997.91144186046517</v>
      </c>
      <c r="G188">
        <f t="shared" si="12"/>
        <v>-166.45195348837217</v>
      </c>
      <c r="H188" s="12">
        <f t="shared" si="13"/>
        <v>995827.2457960326</v>
      </c>
      <c r="I188">
        <f t="shared" si="14"/>
        <v>166104.30890607255</v>
      </c>
    </row>
    <row r="189" spans="1:9" x14ac:dyDescent="0.2">
      <c r="A189">
        <v>188</v>
      </c>
      <c r="B189">
        <v>300</v>
      </c>
      <c r="C189">
        <v>900</v>
      </c>
      <c r="D189">
        <f t="shared" si="10"/>
        <v>960.22123779234084</v>
      </c>
      <c r="F189" s="2">
        <f t="shared" si="11"/>
        <v>-997.91144186046517</v>
      </c>
      <c r="G189">
        <f t="shared" si="12"/>
        <v>-66.451953488372169</v>
      </c>
      <c r="H189" s="12">
        <f t="shared" si="13"/>
        <v>995827.2457960326</v>
      </c>
      <c r="I189">
        <f t="shared" si="14"/>
        <v>66313.164720026034</v>
      </c>
    </row>
    <row r="190" spans="1:9" x14ac:dyDescent="0.2">
      <c r="A190">
        <v>189</v>
      </c>
      <c r="B190">
        <v>300</v>
      </c>
      <c r="C190">
        <v>820</v>
      </c>
      <c r="D190">
        <f t="shared" si="10"/>
        <v>960.22123779234084</v>
      </c>
      <c r="F190" s="2">
        <f t="shared" si="11"/>
        <v>-997.91144186046517</v>
      </c>
      <c r="G190">
        <f t="shared" si="12"/>
        <v>-146.45195348837217</v>
      </c>
      <c r="H190" s="12">
        <f t="shared" si="13"/>
        <v>995827.2457960326</v>
      </c>
      <c r="I190">
        <f t="shared" si="14"/>
        <v>146146.08006886326</v>
      </c>
    </row>
    <row r="191" spans="1:9" x14ac:dyDescent="0.2">
      <c r="A191">
        <v>190</v>
      </c>
      <c r="B191">
        <v>300</v>
      </c>
      <c r="C191">
        <v>1000</v>
      </c>
      <c r="D191">
        <f t="shared" si="10"/>
        <v>960.22123779234084</v>
      </c>
      <c r="F191" s="2">
        <f t="shared" si="11"/>
        <v>-997.91144186046517</v>
      </c>
      <c r="G191">
        <f t="shared" si="12"/>
        <v>33.548046511627831</v>
      </c>
      <c r="H191" s="12">
        <f t="shared" si="13"/>
        <v>995827.2457960326</v>
      </c>
      <c r="I191">
        <f t="shared" si="14"/>
        <v>-33477.979466020479</v>
      </c>
    </row>
    <row r="192" spans="1:9" x14ac:dyDescent="0.2">
      <c r="A192">
        <v>191</v>
      </c>
      <c r="B192">
        <v>300</v>
      </c>
      <c r="C192">
        <v>400</v>
      </c>
      <c r="D192">
        <f t="shared" si="10"/>
        <v>960.22123779234084</v>
      </c>
      <c r="F192" s="2">
        <f t="shared" si="11"/>
        <v>-997.91144186046517</v>
      </c>
      <c r="G192">
        <f t="shared" si="12"/>
        <v>-566.45195348837217</v>
      </c>
      <c r="H192" s="12">
        <f t="shared" si="13"/>
        <v>995827.2457960326</v>
      </c>
      <c r="I192">
        <f t="shared" si="14"/>
        <v>565268.88565025863</v>
      </c>
    </row>
    <row r="193" spans="1:9" x14ac:dyDescent="0.2">
      <c r="A193">
        <v>192</v>
      </c>
      <c r="B193">
        <v>280</v>
      </c>
      <c r="C193">
        <v>950</v>
      </c>
      <c r="D193">
        <f t="shared" si="10"/>
        <v>960.09636266946598</v>
      </c>
      <c r="F193" s="2">
        <f t="shared" si="11"/>
        <v>-1017.9114418604652</v>
      </c>
      <c r="G193">
        <f t="shared" si="12"/>
        <v>-16.451953488372169</v>
      </c>
      <c r="H193" s="12">
        <f t="shared" si="13"/>
        <v>1036143.7034704512</v>
      </c>
      <c r="I193">
        <f t="shared" si="14"/>
        <v>16746.631696770226</v>
      </c>
    </row>
    <row r="194" spans="1:9" x14ac:dyDescent="0.2">
      <c r="A194">
        <v>193</v>
      </c>
      <c r="B194">
        <v>250</v>
      </c>
      <c r="C194">
        <v>650</v>
      </c>
      <c r="D194">
        <f t="shared" si="10"/>
        <v>959.9090499851535</v>
      </c>
      <c r="F194" s="2">
        <f t="shared" si="11"/>
        <v>-1047.9114418604652</v>
      </c>
      <c r="G194">
        <f t="shared" si="12"/>
        <v>-316.45195348837217</v>
      </c>
      <c r="H194" s="12">
        <f t="shared" si="13"/>
        <v>1098118.3899820792</v>
      </c>
      <c r="I194">
        <f t="shared" si="14"/>
        <v>331613.62285956094</v>
      </c>
    </row>
    <row r="195" spans="1:9" x14ac:dyDescent="0.2">
      <c r="A195">
        <v>194</v>
      </c>
      <c r="B195">
        <v>250</v>
      </c>
      <c r="C195">
        <v>1059</v>
      </c>
      <c r="D195">
        <f t="shared" ref="D195:D216" si="15">$H$223+($H$222*B195)</f>
        <v>959.9090499851535</v>
      </c>
      <c r="F195" s="2">
        <f t="shared" ref="F195:F216" si="16">B195-$B$218</f>
        <v>-1047.9114418604652</v>
      </c>
      <c r="G195">
        <f t="shared" ref="G195:G216" si="17">C195-$C$218</f>
        <v>92.548046511627831</v>
      </c>
      <c r="H195" s="12">
        <f t="shared" ref="H195:H216" si="18">(F195)^2</f>
        <v>1098118.3899820792</v>
      </c>
      <c r="I195">
        <f t="shared" ref="I195:I216" si="19">F195*G195</f>
        <v>-96982.156861369309</v>
      </c>
    </row>
    <row r="196" spans="1:9" x14ac:dyDescent="0.2">
      <c r="A196">
        <v>195</v>
      </c>
      <c r="B196">
        <v>250</v>
      </c>
      <c r="C196">
        <v>333</v>
      </c>
      <c r="D196">
        <f t="shared" si="15"/>
        <v>959.9090499851535</v>
      </c>
      <c r="F196" s="2">
        <f t="shared" si="16"/>
        <v>-1047.9114418604652</v>
      </c>
      <c r="G196">
        <f t="shared" si="17"/>
        <v>-633.45195348837217</v>
      </c>
      <c r="H196" s="12">
        <f t="shared" si="18"/>
        <v>1098118.3899820792</v>
      </c>
      <c r="I196">
        <f t="shared" si="19"/>
        <v>663801.54992932838</v>
      </c>
    </row>
    <row r="197" spans="1:9" x14ac:dyDescent="0.2">
      <c r="A197">
        <v>196</v>
      </c>
      <c r="B197">
        <v>250</v>
      </c>
      <c r="C197">
        <v>1100</v>
      </c>
      <c r="D197">
        <f t="shared" si="15"/>
        <v>959.9090499851535</v>
      </c>
      <c r="F197" s="2">
        <f t="shared" si="16"/>
        <v>-1047.9114418604652</v>
      </c>
      <c r="G197">
        <f t="shared" si="17"/>
        <v>133.54804651162783</v>
      </c>
      <c r="H197" s="12">
        <f t="shared" si="18"/>
        <v>1098118.3899820792</v>
      </c>
      <c r="I197">
        <f t="shared" si="19"/>
        <v>-139946.52597764839</v>
      </c>
    </row>
    <row r="198" spans="1:9" x14ac:dyDescent="0.2">
      <c r="A198">
        <v>197</v>
      </c>
      <c r="B198">
        <v>200</v>
      </c>
      <c r="C198">
        <v>770</v>
      </c>
      <c r="D198">
        <f t="shared" si="15"/>
        <v>959.59686217796627</v>
      </c>
      <c r="F198" s="2">
        <f t="shared" si="16"/>
        <v>-1097.9114418604652</v>
      </c>
      <c r="G198">
        <f t="shared" si="17"/>
        <v>-196.45195348837217</v>
      </c>
      <c r="H198" s="12">
        <f t="shared" si="18"/>
        <v>1205409.5341681256</v>
      </c>
      <c r="I198">
        <f t="shared" si="19"/>
        <v>215686.84751072372</v>
      </c>
    </row>
    <row r="199" spans="1:9" x14ac:dyDescent="0.2">
      <c r="A199">
        <v>198</v>
      </c>
      <c r="B199">
        <v>200</v>
      </c>
      <c r="C199">
        <v>775</v>
      </c>
      <c r="D199">
        <f t="shared" si="15"/>
        <v>959.59686217796627</v>
      </c>
      <c r="F199" s="2">
        <f t="shared" si="16"/>
        <v>-1097.9114418604652</v>
      </c>
      <c r="G199">
        <f t="shared" si="17"/>
        <v>-191.45195348837217</v>
      </c>
      <c r="H199" s="12">
        <f t="shared" si="18"/>
        <v>1205409.5341681256</v>
      </c>
      <c r="I199">
        <f t="shared" si="19"/>
        <v>210197.2903014214</v>
      </c>
    </row>
    <row r="200" spans="1:9" x14ac:dyDescent="0.2">
      <c r="A200">
        <v>199</v>
      </c>
      <c r="B200">
        <v>200</v>
      </c>
      <c r="C200">
        <v>950</v>
      </c>
      <c r="D200">
        <f t="shared" si="15"/>
        <v>959.59686217796627</v>
      </c>
      <c r="F200" s="2">
        <f t="shared" si="16"/>
        <v>-1097.9114418604652</v>
      </c>
      <c r="G200">
        <f t="shared" si="17"/>
        <v>-16.451953488372169</v>
      </c>
      <c r="H200" s="12">
        <f t="shared" si="18"/>
        <v>1205409.5341681256</v>
      </c>
      <c r="I200">
        <f t="shared" si="19"/>
        <v>18062.787975839998</v>
      </c>
    </row>
    <row r="201" spans="1:9" x14ac:dyDescent="0.2">
      <c r="A201">
        <v>200</v>
      </c>
      <c r="B201">
        <v>200</v>
      </c>
      <c r="C201" s="3">
        <v>1166.67</v>
      </c>
      <c r="D201">
        <f t="shared" si="15"/>
        <v>959.59686217796627</v>
      </c>
      <c r="F201" s="2">
        <f t="shared" si="16"/>
        <v>-1097.9114418604652</v>
      </c>
      <c r="G201">
        <f t="shared" si="17"/>
        <v>200.2180465116279</v>
      </c>
      <c r="H201" s="12">
        <f t="shared" si="18"/>
        <v>1205409.5341681256</v>
      </c>
      <c r="I201">
        <f t="shared" si="19"/>
        <v>-219821.68413206708</v>
      </c>
    </row>
    <row r="202" spans="1:9" x14ac:dyDescent="0.2">
      <c r="A202">
        <v>201</v>
      </c>
      <c r="B202">
        <v>200</v>
      </c>
      <c r="C202">
        <v>1200</v>
      </c>
      <c r="D202">
        <f t="shared" si="15"/>
        <v>959.59686217796627</v>
      </c>
      <c r="F202" s="2">
        <f t="shared" si="16"/>
        <v>-1097.9114418604652</v>
      </c>
      <c r="G202">
        <f t="shared" si="17"/>
        <v>233.54804651162783</v>
      </c>
      <c r="H202" s="12">
        <f t="shared" si="18"/>
        <v>1205409.5341681256</v>
      </c>
      <c r="I202">
        <f t="shared" si="19"/>
        <v>-256415.0724892763</v>
      </c>
    </row>
    <row r="203" spans="1:9" x14ac:dyDescent="0.2">
      <c r="A203">
        <v>202</v>
      </c>
      <c r="B203">
        <v>200</v>
      </c>
      <c r="C203">
        <v>1000</v>
      </c>
      <c r="D203">
        <f t="shared" si="15"/>
        <v>959.59686217796627</v>
      </c>
      <c r="F203" s="2">
        <f t="shared" si="16"/>
        <v>-1097.9114418604652</v>
      </c>
      <c r="G203">
        <f t="shared" si="17"/>
        <v>33.548046511627831</v>
      </c>
      <c r="H203" s="12">
        <f t="shared" si="18"/>
        <v>1205409.5341681256</v>
      </c>
      <c r="I203">
        <f t="shared" si="19"/>
        <v>-36832.784117183262</v>
      </c>
    </row>
    <row r="204" spans="1:9" x14ac:dyDescent="0.2">
      <c r="A204">
        <v>203</v>
      </c>
      <c r="B204">
        <v>200</v>
      </c>
      <c r="C204">
        <v>1479</v>
      </c>
      <c r="D204">
        <f t="shared" si="15"/>
        <v>959.59686217796627</v>
      </c>
      <c r="F204" s="2">
        <f t="shared" si="16"/>
        <v>-1097.9114418604652</v>
      </c>
      <c r="G204">
        <f t="shared" si="17"/>
        <v>512.54804651162783</v>
      </c>
      <c r="H204" s="12">
        <f t="shared" si="18"/>
        <v>1205409.5341681256</v>
      </c>
      <c r="I204">
        <f t="shared" si="19"/>
        <v>-562732.36476834607</v>
      </c>
    </row>
    <row r="205" spans="1:9" x14ac:dyDescent="0.2">
      <c r="A205">
        <v>204</v>
      </c>
      <c r="B205">
        <v>200</v>
      </c>
      <c r="C205">
        <v>1600</v>
      </c>
      <c r="D205">
        <f t="shared" si="15"/>
        <v>959.59686217796627</v>
      </c>
      <c r="F205" s="2">
        <f t="shared" si="16"/>
        <v>-1097.9114418604652</v>
      </c>
      <c r="G205">
        <f t="shared" si="17"/>
        <v>633.54804651162783</v>
      </c>
      <c r="H205" s="12">
        <f t="shared" si="18"/>
        <v>1205409.5341681256</v>
      </c>
      <c r="I205">
        <f t="shared" si="19"/>
        <v>-695579.64923346241</v>
      </c>
    </row>
    <row r="206" spans="1:9" x14ac:dyDescent="0.2">
      <c r="A206">
        <v>205</v>
      </c>
      <c r="B206">
        <v>200</v>
      </c>
      <c r="C206">
        <v>1000</v>
      </c>
      <c r="D206">
        <f t="shared" si="15"/>
        <v>959.59686217796627</v>
      </c>
      <c r="F206" s="2">
        <f t="shared" si="16"/>
        <v>-1097.9114418604652</v>
      </c>
      <c r="G206">
        <f t="shared" si="17"/>
        <v>33.548046511627831</v>
      </c>
      <c r="H206" s="12">
        <f t="shared" si="18"/>
        <v>1205409.5341681256</v>
      </c>
      <c r="I206">
        <f t="shared" si="19"/>
        <v>-36832.784117183262</v>
      </c>
    </row>
    <row r="207" spans="1:9" x14ac:dyDescent="0.2">
      <c r="A207">
        <v>206</v>
      </c>
      <c r="B207">
        <v>200</v>
      </c>
      <c r="C207">
        <v>750</v>
      </c>
      <c r="D207">
        <f t="shared" si="15"/>
        <v>959.59686217796627</v>
      </c>
      <c r="F207" s="2">
        <f t="shared" si="16"/>
        <v>-1097.9114418604652</v>
      </c>
      <c r="G207">
        <f t="shared" si="17"/>
        <v>-216.45195348837217</v>
      </c>
      <c r="H207" s="12">
        <f t="shared" si="18"/>
        <v>1205409.5341681256</v>
      </c>
      <c r="I207">
        <f t="shared" si="19"/>
        <v>237645.07634793303</v>
      </c>
    </row>
    <row r="208" spans="1:9" x14ac:dyDescent="0.2">
      <c r="A208">
        <v>207</v>
      </c>
      <c r="B208">
        <v>200</v>
      </c>
      <c r="C208">
        <v>500</v>
      </c>
      <c r="D208">
        <f t="shared" si="15"/>
        <v>959.59686217796627</v>
      </c>
      <c r="F208" s="2">
        <f t="shared" si="16"/>
        <v>-1097.9114418604652</v>
      </c>
      <c r="G208">
        <f t="shared" si="17"/>
        <v>-466.45195348837217</v>
      </c>
      <c r="H208" s="12">
        <f t="shared" si="18"/>
        <v>1205409.5341681256</v>
      </c>
      <c r="I208">
        <f t="shared" si="19"/>
        <v>512122.93681304931</v>
      </c>
    </row>
    <row r="209" spans="1:9" x14ac:dyDescent="0.2">
      <c r="A209">
        <v>208</v>
      </c>
      <c r="B209">
        <v>100</v>
      </c>
      <c r="C209">
        <v>880</v>
      </c>
      <c r="D209">
        <f t="shared" si="15"/>
        <v>958.97248656359159</v>
      </c>
      <c r="F209" s="2">
        <f t="shared" si="16"/>
        <v>-1197.9114418604652</v>
      </c>
      <c r="G209">
        <f t="shared" si="17"/>
        <v>-86.451953488372169</v>
      </c>
      <c r="H209" s="12">
        <f t="shared" si="18"/>
        <v>1434991.8225402187</v>
      </c>
      <c r="I209">
        <f t="shared" si="19"/>
        <v>103561.78425490978</v>
      </c>
    </row>
    <row r="210" spans="1:9" x14ac:dyDescent="0.2">
      <c r="A210">
        <v>209</v>
      </c>
      <c r="B210">
        <v>100</v>
      </c>
      <c r="C210">
        <v>700</v>
      </c>
      <c r="D210">
        <f t="shared" si="15"/>
        <v>958.97248656359159</v>
      </c>
      <c r="F210" s="2">
        <f t="shared" si="16"/>
        <v>-1197.9114418604652</v>
      </c>
      <c r="G210">
        <f t="shared" si="17"/>
        <v>-266.45195348837217</v>
      </c>
      <c r="H210" s="12">
        <f t="shared" si="18"/>
        <v>1434991.8225402187</v>
      </c>
      <c r="I210">
        <f t="shared" si="19"/>
        <v>319185.84378979349</v>
      </c>
    </row>
    <row r="211" spans="1:9" x14ac:dyDescent="0.2">
      <c r="A211">
        <v>210</v>
      </c>
      <c r="B211">
        <v>100</v>
      </c>
      <c r="C211">
        <v>1200</v>
      </c>
      <c r="D211">
        <f t="shared" si="15"/>
        <v>958.97248656359159</v>
      </c>
      <c r="F211" s="2">
        <f t="shared" si="16"/>
        <v>-1197.9114418604652</v>
      </c>
      <c r="G211">
        <f t="shared" si="17"/>
        <v>233.54804651162783</v>
      </c>
      <c r="H211" s="12">
        <f t="shared" si="18"/>
        <v>1434991.8225402187</v>
      </c>
      <c r="I211">
        <f t="shared" si="19"/>
        <v>-279769.87714043906</v>
      </c>
    </row>
    <row r="212" spans="1:9" x14ac:dyDescent="0.2">
      <c r="A212">
        <v>211</v>
      </c>
      <c r="B212">
        <v>100</v>
      </c>
      <c r="C212">
        <v>1400</v>
      </c>
      <c r="D212">
        <f t="shared" si="15"/>
        <v>958.97248656359159</v>
      </c>
      <c r="F212" s="2">
        <f t="shared" si="16"/>
        <v>-1197.9114418604652</v>
      </c>
      <c r="G212">
        <f t="shared" si="17"/>
        <v>433.54804651162783</v>
      </c>
      <c r="H212" s="12">
        <f t="shared" si="18"/>
        <v>1434991.8225402187</v>
      </c>
      <c r="I212">
        <f t="shared" si="19"/>
        <v>-519352.16551253211</v>
      </c>
    </row>
    <row r="213" spans="1:9" x14ac:dyDescent="0.2">
      <c r="A213">
        <v>212</v>
      </c>
      <c r="B213">
        <v>60</v>
      </c>
      <c r="C213">
        <v>900</v>
      </c>
      <c r="D213">
        <f t="shared" si="15"/>
        <v>958.72273631784174</v>
      </c>
      <c r="F213" s="2">
        <f t="shared" si="16"/>
        <v>-1237.9114418604652</v>
      </c>
      <c r="G213">
        <f t="shared" si="17"/>
        <v>-66.451953488372169</v>
      </c>
      <c r="H213" s="12">
        <f t="shared" si="18"/>
        <v>1532424.7378890559</v>
      </c>
      <c r="I213">
        <f t="shared" si="19"/>
        <v>82261.633557235356</v>
      </c>
    </row>
    <row r="214" spans="1:9" x14ac:dyDescent="0.2">
      <c r="A214">
        <v>213</v>
      </c>
      <c r="B214">
        <v>50</v>
      </c>
      <c r="C214">
        <v>1200</v>
      </c>
      <c r="D214">
        <f t="shared" si="15"/>
        <v>958.66029875640425</v>
      </c>
      <c r="F214" s="2">
        <f t="shared" si="16"/>
        <v>-1247.9114418604652</v>
      </c>
      <c r="G214">
        <f t="shared" si="17"/>
        <v>233.54804651162783</v>
      </c>
      <c r="H214" s="12">
        <f t="shared" si="18"/>
        <v>1557282.9667262651</v>
      </c>
      <c r="I214">
        <f t="shared" si="19"/>
        <v>-291447.27946602047</v>
      </c>
    </row>
    <row r="215" spans="1:9" x14ac:dyDescent="0.2">
      <c r="A215">
        <v>214</v>
      </c>
      <c r="B215">
        <v>50</v>
      </c>
      <c r="C215">
        <v>600</v>
      </c>
      <c r="D215">
        <f t="shared" si="15"/>
        <v>958.66029875640425</v>
      </c>
      <c r="F215" s="2">
        <f t="shared" si="16"/>
        <v>-1247.9114418604652</v>
      </c>
      <c r="G215">
        <f t="shared" si="17"/>
        <v>-366.45195348837217</v>
      </c>
      <c r="H215" s="12">
        <f t="shared" si="18"/>
        <v>1557282.9667262651</v>
      </c>
      <c r="I215">
        <f t="shared" si="19"/>
        <v>457299.58565025864</v>
      </c>
    </row>
    <row r="216" spans="1:9" x14ac:dyDescent="0.2">
      <c r="A216">
        <v>215</v>
      </c>
      <c r="B216">
        <v>35</v>
      </c>
      <c r="C216">
        <v>850</v>
      </c>
      <c r="D216">
        <f t="shared" si="15"/>
        <v>958.56664241424801</v>
      </c>
      <c r="F216" s="2">
        <f t="shared" si="16"/>
        <v>-1262.9114418604652</v>
      </c>
      <c r="G216">
        <f t="shared" si="17"/>
        <v>-116.45195348837217</v>
      </c>
      <c r="H216" s="12">
        <f t="shared" si="18"/>
        <v>1594945.3099820791</v>
      </c>
      <c r="I216">
        <f t="shared" si="19"/>
        <v>147068.50448746793</v>
      </c>
    </row>
    <row r="217" spans="1:9" x14ac:dyDescent="0.2">
      <c r="H217" s="12">
        <f>SUM(H2:H216)</f>
        <v>199201018.83545336</v>
      </c>
      <c r="I217">
        <f>SUM(I2:I216)</f>
        <v>1243762.5851944182</v>
      </c>
    </row>
    <row r="218" spans="1:9" x14ac:dyDescent="0.2">
      <c r="A218" t="s">
        <v>32</v>
      </c>
      <c r="B218" s="2">
        <f>AVERAGE(B2:B216)</f>
        <v>1297.9114418604652</v>
      </c>
      <c r="C218">
        <f>AVERAGE(C2:C216)</f>
        <v>966.45195348837217</v>
      </c>
    </row>
    <row r="219" spans="1:9" x14ac:dyDescent="0.2">
      <c r="F219" s="13" t="s">
        <v>34</v>
      </c>
      <c r="G219" s="8" t="s">
        <v>35</v>
      </c>
      <c r="H219" s="14">
        <f>I217/H217</f>
        <v>6.2437561437464701E-3</v>
      </c>
    </row>
    <row r="220" spans="1:9" x14ac:dyDescent="0.2">
      <c r="F220" s="13"/>
      <c r="G220" s="8" t="s">
        <v>14</v>
      </c>
      <c r="H220" s="14">
        <f>C218-(B218*H219)</f>
        <v>958.34811094921702</v>
      </c>
    </row>
    <row r="222" spans="1:9" x14ac:dyDescent="0.2">
      <c r="F222" s="13" t="s">
        <v>36</v>
      </c>
      <c r="G222" s="8" t="s">
        <v>37</v>
      </c>
      <c r="H222" s="14">
        <f>'Toolpak summary'!B18</f>
        <v>6.2437561437465759E-3</v>
      </c>
    </row>
    <row r="223" spans="1:9" x14ac:dyDescent="0.2">
      <c r="C223" s="2"/>
      <c r="F223" s="13"/>
      <c r="G223" s="8" t="s">
        <v>14</v>
      </c>
      <c r="H223" s="14">
        <f>'Toolpak summary'!B17</f>
        <v>958.3481109492169</v>
      </c>
    </row>
    <row r="224" spans="1:9" x14ac:dyDescent="0.2">
      <c r="C224" s="2"/>
    </row>
    <row r="225" spans="7:8" x14ac:dyDescent="0.2">
      <c r="G225" s="8" t="s">
        <v>38</v>
      </c>
      <c r="H225" t="s">
        <v>39</v>
      </c>
    </row>
    <row r="269" spans="3:3" x14ac:dyDescent="0.2">
      <c r="C269" s="2"/>
    </row>
    <row r="296" spans="3:3" x14ac:dyDescent="0.2">
      <c r="C296" s="2"/>
    </row>
    <row r="303" spans="3:3" x14ac:dyDescent="0.2">
      <c r="C303" s="3"/>
    </row>
    <row r="314" spans="3:3" x14ac:dyDescent="0.2">
      <c r="C314" s="2"/>
    </row>
  </sheetData>
  <autoFilter ref="B1:C380" xr:uid="{00000000-0001-0000-0100-000000000000}">
    <sortState xmlns:xlrd2="http://schemas.microsoft.com/office/spreadsheetml/2017/richdata2" ref="B2:C380">
      <sortCondition descending="1" ref="B1:B380"/>
    </sortState>
  </autoFilter>
  <mergeCells count="2">
    <mergeCell ref="F219:F220"/>
    <mergeCell ref="F222:F2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657B-5F8E-6A46-ABD1-B45DD01F8B08}">
  <dimension ref="A1:D15"/>
  <sheetViews>
    <sheetView zoomScale="90" workbookViewId="0">
      <selection activeCell="I31" sqref="I31"/>
    </sheetView>
  </sheetViews>
  <sheetFormatPr baseColWidth="10" defaultRowHeight="16" x14ac:dyDescent="0.2"/>
  <sheetData>
    <row r="1" spans="1:4" x14ac:dyDescent="0.2">
      <c r="A1" s="6" t="s">
        <v>1</v>
      </c>
      <c r="B1" s="6"/>
      <c r="C1" s="6" t="s">
        <v>2</v>
      </c>
      <c r="D1" s="6"/>
    </row>
    <row r="2" spans="1:4" x14ac:dyDescent="0.2">
      <c r="A2" s="4"/>
      <c r="B2" s="4"/>
      <c r="C2" s="4"/>
      <c r="D2" s="4"/>
    </row>
    <row r="3" spans="1:4" x14ac:dyDescent="0.2">
      <c r="A3" s="4" t="s">
        <v>40</v>
      </c>
      <c r="B3" s="4">
        <v>1297.9114418604652</v>
      </c>
      <c r="C3" s="4" t="s">
        <v>40</v>
      </c>
      <c r="D3" s="4">
        <v>966.45195348837217</v>
      </c>
    </row>
    <row r="4" spans="1:4" x14ac:dyDescent="0.2">
      <c r="A4" s="4" t="s">
        <v>8</v>
      </c>
      <c r="B4" s="4">
        <v>65.799055708522872</v>
      </c>
      <c r="C4" s="4" t="s">
        <v>8</v>
      </c>
      <c r="D4" s="4">
        <v>27.201116015889479</v>
      </c>
    </row>
    <row r="5" spans="1:4" x14ac:dyDescent="0.2">
      <c r="A5" s="4" t="s">
        <v>41</v>
      </c>
      <c r="B5" s="4">
        <v>1000</v>
      </c>
      <c r="C5" s="4" t="s">
        <v>41</v>
      </c>
      <c r="D5" s="4">
        <v>950</v>
      </c>
    </row>
    <row r="6" spans="1:4" x14ac:dyDescent="0.2">
      <c r="A6" s="4" t="s">
        <v>42</v>
      </c>
      <c r="B6" s="4">
        <v>1000</v>
      </c>
      <c r="C6" s="4" t="s">
        <v>42</v>
      </c>
      <c r="D6" s="4">
        <v>1000</v>
      </c>
    </row>
    <row r="7" spans="1:4" x14ac:dyDescent="0.2">
      <c r="A7" s="4" t="s">
        <v>43</v>
      </c>
      <c r="B7" s="4">
        <v>964.80354601787121</v>
      </c>
      <c r="C7" s="4" t="s">
        <v>43</v>
      </c>
      <c r="D7" s="4">
        <v>398.84665372749964</v>
      </c>
    </row>
    <row r="8" spans="1:4" x14ac:dyDescent="0.2">
      <c r="A8" s="4" t="s">
        <v>44</v>
      </c>
      <c r="B8" s="4">
        <v>930845.88240865851</v>
      </c>
      <c r="C8" s="4" t="s">
        <v>44</v>
      </c>
      <c r="D8" s="4">
        <v>159078.65318962402</v>
      </c>
    </row>
    <row r="9" spans="1:4" x14ac:dyDescent="0.2">
      <c r="A9" s="4" t="s">
        <v>45</v>
      </c>
      <c r="B9" s="4">
        <v>0.56877104856295002</v>
      </c>
      <c r="C9" s="4" t="s">
        <v>45</v>
      </c>
      <c r="D9" s="4">
        <v>17.596646159029156</v>
      </c>
    </row>
    <row r="10" spans="1:4" x14ac:dyDescent="0.2">
      <c r="A10" s="4" t="s">
        <v>46</v>
      </c>
      <c r="B10" s="4">
        <v>1.0270626821894364</v>
      </c>
      <c r="C10" s="4" t="s">
        <v>46</v>
      </c>
      <c r="D10" s="4">
        <v>2.4676045414406338</v>
      </c>
    </row>
    <row r="11" spans="1:4" x14ac:dyDescent="0.2">
      <c r="A11" s="4" t="s">
        <v>47</v>
      </c>
      <c r="B11" s="4">
        <v>3985</v>
      </c>
      <c r="C11" s="4" t="s">
        <v>47</v>
      </c>
      <c r="D11" s="4">
        <v>4059</v>
      </c>
    </row>
    <row r="12" spans="1:4" x14ac:dyDescent="0.2">
      <c r="A12" s="4" t="s">
        <v>48</v>
      </c>
      <c r="B12" s="4">
        <v>35</v>
      </c>
      <c r="C12" s="4" t="s">
        <v>48</v>
      </c>
      <c r="D12" s="4">
        <v>50</v>
      </c>
    </row>
    <row r="13" spans="1:4" x14ac:dyDescent="0.2">
      <c r="A13" s="4" t="s">
        <v>49</v>
      </c>
      <c r="B13" s="4">
        <v>4020</v>
      </c>
      <c r="C13" s="4" t="s">
        <v>49</v>
      </c>
      <c r="D13" s="4">
        <v>4109</v>
      </c>
    </row>
    <row r="14" spans="1:4" x14ac:dyDescent="0.2">
      <c r="A14" s="4" t="s">
        <v>50</v>
      </c>
      <c r="B14" s="4">
        <v>279050.96000000002</v>
      </c>
      <c r="C14" s="4" t="s">
        <v>50</v>
      </c>
      <c r="D14" s="4">
        <v>207787.17</v>
      </c>
    </row>
    <row r="15" spans="1:4" ht="17" thickBot="1" x14ac:dyDescent="0.25">
      <c r="A15" s="5" t="s">
        <v>51</v>
      </c>
      <c r="B15" s="5">
        <v>215</v>
      </c>
      <c r="C15" s="5" t="s">
        <v>51</v>
      </c>
      <c r="D15" s="5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FA47-9E14-8E44-81C6-61D34F0367C1}">
  <dimension ref="A1:I18"/>
  <sheetViews>
    <sheetView topLeftCell="A5" zoomScale="160" workbookViewId="0">
      <selection activeCell="B18" sqref="B18"/>
    </sheetView>
  </sheetViews>
  <sheetFormatPr baseColWidth="10" defaultRowHeight="16" x14ac:dyDescent="0.2"/>
  <sheetData>
    <row r="1" spans="1:9" x14ac:dyDescent="0.2">
      <c r="A1" t="s">
        <v>3</v>
      </c>
    </row>
    <row r="2" spans="1:9" ht="17" thickBot="1" x14ac:dyDescent="0.25"/>
    <row r="3" spans="1:9" x14ac:dyDescent="0.2">
      <c r="A3" s="7" t="s">
        <v>4</v>
      </c>
      <c r="B3" s="7"/>
    </row>
    <row r="4" spans="1:9" x14ac:dyDescent="0.2">
      <c r="A4" s="4" t="s">
        <v>5</v>
      </c>
      <c r="B4" s="4">
        <v>1.5103544210992692E-2</v>
      </c>
    </row>
    <row r="5" spans="1:9" x14ac:dyDescent="0.2">
      <c r="A5" s="4" t="s">
        <v>6</v>
      </c>
      <c r="B5" s="4">
        <v>2.2811704773341085E-4</v>
      </c>
    </row>
    <row r="6" spans="1:9" x14ac:dyDescent="0.2">
      <c r="A6" s="4" t="s">
        <v>7</v>
      </c>
      <c r="B6" s="4">
        <v>-4.4656476609626766E-3</v>
      </c>
    </row>
    <row r="7" spans="1:9" x14ac:dyDescent="0.2">
      <c r="A7" s="4" t="s">
        <v>8</v>
      </c>
      <c r="B7" s="4">
        <v>399.7362160289577</v>
      </c>
    </row>
    <row r="8" spans="1:9" ht="17" thickBot="1" x14ac:dyDescent="0.25">
      <c r="A8" s="5" t="s">
        <v>9</v>
      </c>
      <c r="B8" s="5">
        <v>215</v>
      </c>
    </row>
    <row r="10" spans="1:9" ht="17" thickBot="1" x14ac:dyDescent="0.25">
      <c r="A10" t="s">
        <v>10</v>
      </c>
    </row>
    <row r="11" spans="1:9" x14ac:dyDescent="0.2">
      <c r="A11" s="6"/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</row>
    <row r="12" spans="1:9" x14ac:dyDescent="0.2">
      <c r="A12" s="4" t="s">
        <v>11</v>
      </c>
      <c r="B12" s="4">
        <v>1</v>
      </c>
      <c r="C12" s="4">
        <v>7765.7502827271819</v>
      </c>
      <c r="D12" s="4">
        <v>7765.7502827271819</v>
      </c>
      <c r="E12" s="4">
        <v>4.8600017659764842E-2</v>
      </c>
      <c r="F12" s="4">
        <v>0.82572866172944848</v>
      </c>
    </row>
    <row r="13" spans="1:9" x14ac:dyDescent="0.2">
      <c r="A13" s="4" t="s">
        <v>12</v>
      </c>
      <c r="B13" s="4">
        <v>213</v>
      </c>
      <c r="C13" s="4">
        <v>34035066.032296851</v>
      </c>
      <c r="D13" s="4">
        <v>159789.04240514955</v>
      </c>
      <c r="E13" s="4"/>
      <c r="F13" s="4"/>
    </row>
    <row r="14" spans="1:9" ht="17" thickBot="1" x14ac:dyDescent="0.25">
      <c r="A14" s="5" t="s">
        <v>13</v>
      </c>
      <c r="B14" s="5">
        <v>214</v>
      </c>
      <c r="C14" s="5">
        <v>34042831.782579578</v>
      </c>
      <c r="D14" s="5"/>
      <c r="E14" s="5"/>
      <c r="F14" s="5"/>
    </row>
    <row r="15" spans="1:9" ht="17" thickBot="1" x14ac:dyDescent="0.25"/>
    <row r="16" spans="1:9" x14ac:dyDescent="0.2">
      <c r="A16" s="6"/>
      <c r="B16" s="6" t="s">
        <v>20</v>
      </c>
      <c r="C16" s="6" t="s">
        <v>8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</row>
    <row r="17" spans="1:9" x14ac:dyDescent="0.2">
      <c r="A17" s="4" t="s">
        <v>14</v>
      </c>
      <c r="B17" s="4">
        <v>958.3481109492169</v>
      </c>
      <c r="C17" s="4">
        <v>45.765549353039766</v>
      </c>
      <c r="D17" s="4">
        <v>20.940382547501596</v>
      </c>
      <c r="E17" s="4">
        <v>1.2966003798208427E-53</v>
      </c>
      <c r="F17" s="4">
        <v>868.13671286602732</v>
      </c>
      <c r="G17" s="4">
        <v>1048.5595090324066</v>
      </c>
      <c r="H17" s="4">
        <v>868.13671286602732</v>
      </c>
      <c r="I17" s="4">
        <v>1048.5595090324066</v>
      </c>
    </row>
    <row r="18" spans="1:9" ht="17" thickBot="1" x14ac:dyDescent="0.25">
      <c r="A18" s="5" t="s">
        <v>1</v>
      </c>
      <c r="B18" s="5">
        <v>6.2437561437465759E-3</v>
      </c>
      <c r="C18" s="5">
        <v>2.832224787391319E-2</v>
      </c>
      <c r="D18" s="5">
        <v>0.22045411690282962</v>
      </c>
      <c r="E18" s="5">
        <v>0.82572866173008053</v>
      </c>
      <c r="F18" s="5">
        <v>-4.958403602050613E-2</v>
      </c>
      <c r="G18" s="5">
        <v>6.2071548307999276E-2</v>
      </c>
      <c r="H18" s="5">
        <v>-4.958403602050613E-2</v>
      </c>
      <c r="I18" s="5">
        <v>6.2071548307999276E-2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Honor Pledge</vt:lpstr>
      <vt:lpstr>Class Budget Data</vt:lpstr>
      <vt:lpstr>Descriptive statistics</vt:lpstr>
      <vt:lpstr>Toolpak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jmendozagarcia@ufl.edu</dc:creator>
  <cp:lastModifiedBy>Cha, Josh</cp:lastModifiedBy>
  <dcterms:created xsi:type="dcterms:W3CDTF">2015-02-10T18:21:37Z</dcterms:created>
  <dcterms:modified xsi:type="dcterms:W3CDTF">2026-04-06T01:36:34Z</dcterms:modified>
</cp:coreProperties>
</file>