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ajeonghun/Downloads/"/>
    </mc:Choice>
  </mc:AlternateContent>
  <xr:revisionPtr revIDLastSave="0" documentId="8_{848DCA8C-7D9B-0E4E-BD19-E62D63A56B56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ecision Making Matrix" sheetId="7" r:id="rId1"/>
    <sheet name="Results" sheetId="9" r:id="rId2"/>
    <sheet name="Honor Pledge" sheetId="8" r:id="rId3"/>
  </sheets>
  <definedNames>
    <definedName name="_xlchart.v2.0" hidden="1">Results!$A$2</definedName>
    <definedName name="_xlchart.v2.1" hidden="1">Results!$B$1:$D$1</definedName>
    <definedName name="_xlchart.v2.2" hidden="1">Results!$B$2:$D$2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" i="9" l="1"/>
  <c r="C1" i="9"/>
  <c r="B1" i="9"/>
  <c r="F20" i="7"/>
  <c r="L14" i="7"/>
  <c r="L15" i="7"/>
  <c r="L20" i="7"/>
  <c r="L19" i="7"/>
  <c r="L18" i="7"/>
  <c r="L17" i="7"/>
  <c r="L16" i="7"/>
  <c r="I14" i="7"/>
  <c r="I20" i="7"/>
  <c r="I19" i="7"/>
  <c r="I18" i="7"/>
  <c r="I17" i="7"/>
  <c r="I16" i="7"/>
  <c r="I15" i="7"/>
  <c r="F15" i="7"/>
  <c r="F16" i="7"/>
  <c r="F17" i="7"/>
  <c r="F18" i="7"/>
  <c r="F19" i="7"/>
  <c r="F14" i="7"/>
  <c r="L9" i="7"/>
  <c r="L8" i="7"/>
  <c r="L7" i="7"/>
  <c r="L11" i="7" s="1"/>
  <c r="I9" i="7"/>
  <c r="I8" i="7"/>
  <c r="I7" i="7"/>
  <c r="F9" i="7"/>
  <c r="F8" i="7"/>
  <c r="F7" i="7"/>
  <c r="I22" i="7" l="1"/>
  <c r="C2" i="9" s="1"/>
  <c r="F11" i="7"/>
  <c r="F22" i="7"/>
  <c r="B2" i="9" s="1"/>
  <c r="L22" i="7"/>
  <c r="D2" i="9" s="1"/>
  <c r="I11" i="7"/>
</calcChain>
</file>

<file path=xl/sharedStrings.xml><?xml version="1.0" encoding="utf-8"?>
<sst xmlns="http://schemas.openxmlformats.org/spreadsheetml/2006/main" count="90" uniqueCount="58">
  <si>
    <t>Objectives</t>
  </si>
  <si>
    <t>Wants</t>
  </si>
  <si>
    <t>Weight</t>
  </si>
  <si>
    <t>Rating</t>
  </si>
  <si>
    <t xml:space="preserve"> fullfilled?</t>
  </si>
  <si>
    <t>fullfilled?</t>
  </si>
  <si>
    <t>Total</t>
  </si>
  <si>
    <t>Musts</t>
  </si>
  <si>
    <t>Weighted Score option 1</t>
  </si>
  <si>
    <t>Weighted Score option 2</t>
  </si>
  <si>
    <t>Weighted Score Option 3</t>
  </si>
  <si>
    <t>Consolidated Weighted Scores</t>
  </si>
  <si>
    <t>List of possible criteria to consider</t>
  </si>
  <si>
    <t>Description of assessment</t>
  </si>
  <si>
    <t>Is this a Go Solution?</t>
  </si>
  <si>
    <t>Yes/No List</t>
  </si>
  <si>
    <t>Values list</t>
  </si>
  <si>
    <t>Yes</t>
  </si>
  <si>
    <t>No</t>
  </si>
  <si>
    <t>Car Purchase Decision Analysis</t>
  </si>
  <si>
    <t>2006 Mercedes E55 AMG</t>
  </si>
  <si>
    <t>2018 Toyota Tacoma</t>
  </si>
  <si>
    <t>2024 Subaru BRZ</t>
  </si>
  <si>
    <t>Reliability</t>
  </si>
  <si>
    <t>DIY repair easiness</t>
  </si>
  <si>
    <t>Gas mileage</t>
  </si>
  <si>
    <t>Driving engagement</t>
  </si>
  <si>
    <t>Street legality</t>
  </si>
  <si>
    <t>Gas-powered vehicle</t>
  </si>
  <si>
    <t>Practicality</t>
  </si>
  <si>
    <t>Acceleration</t>
  </si>
  <si>
    <t>Car option 1</t>
  </si>
  <si>
    <t>Car option 2</t>
  </si>
  <si>
    <t>Car option 3</t>
  </si>
  <si>
    <t>very reliable truck</t>
  </si>
  <si>
    <t>older German car</t>
  </si>
  <si>
    <t>generally reliable</t>
  </si>
  <si>
    <t>complex engine bay</t>
  </si>
  <si>
    <t>simple truck design</t>
  </si>
  <si>
    <t>relatively simple</t>
  </si>
  <si>
    <t>mainstream</t>
  </si>
  <si>
    <t xml:space="preserve">average </t>
  </si>
  <si>
    <t>good</t>
  </si>
  <si>
    <t>usable</t>
  </si>
  <si>
    <t>very practical</t>
  </si>
  <si>
    <t>excellent</t>
  </si>
  <si>
    <t>slow, even for a truck</t>
  </si>
  <si>
    <t>could be better</t>
  </si>
  <si>
    <t>not sporty</t>
  </si>
  <si>
    <t>poor, and requires 93 octane</t>
  </si>
  <si>
    <t>Social perception</t>
  </si>
  <si>
    <t>performance sedan</t>
  </si>
  <si>
    <t>entry-level sports car</t>
  </si>
  <si>
    <t>very nimble</t>
  </si>
  <si>
    <t>limited space inside</t>
  </si>
  <si>
    <t>Sports car</t>
  </si>
  <si>
    <t>very solid</t>
  </si>
  <si>
    <t>On my honor, I, Josh Cha,have neither given nor received unauthorized aid in doing this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</si>
</sst>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0" fillId="0" borderId="6" xfId="0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21" xfId="0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2" fillId="0" borderId="22" xfId="0" applyFont="1" applyBorder="1" applyAlignment="1">
      <alignment horizontal="center" vertical="center" textRotation="90"/>
    </xf>
    <xf numFmtId="0" fontId="2" fillId="0" borderId="24" xfId="0" applyFont="1" applyBorder="1" applyAlignment="1">
      <alignment horizontal="center" vertical="center" textRotation="90"/>
    </xf>
    <xf numFmtId="0" fontId="2" fillId="0" borderId="26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/>
    </xf>
    <xf numFmtId="0" fontId="0" fillId="2" borderId="6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0" borderId="28" xfId="0" applyFont="1" applyBorder="1"/>
    <xf numFmtId="0" fontId="0" fillId="0" borderId="29" xfId="0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0" borderId="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3" borderId="4" xfId="0" applyFont="1" applyFill="1" applyBorder="1"/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/>
    <xf numFmtId="0" fontId="0" fillId="3" borderId="13" xfId="0" applyFill="1" applyBorder="1"/>
    <xf numFmtId="0" fontId="0" fillId="3" borderId="6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4" borderId="4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20" xfId="0" applyFont="1" applyFill="1" applyBorder="1"/>
    <xf numFmtId="0" fontId="0" fillId="4" borderId="13" xfId="0" applyFill="1" applyBorder="1"/>
    <xf numFmtId="0" fontId="0" fillId="4" borderId="6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4" fillId="4" borderId="6" xfId="0" applyFont="1" applyFill="1" applyBorder="1"/>
    <xf numFmtId="0" fontId="4" fillId="4" borderId="18" xfId="0" applyFont="1" applyFill="1" applyBorder="1"/>
    <xf numFmtId="0" fontId="4" fillId="4" borderId="19" xfId="0" applyFont="1" applyFill="1" applyBorder="1"/>
    <xf numFmtId="0" fontId="0" fillId="0" borderId="29" xfId="0" applyFill="1" applyBorder="1"/>
    <xf numFmtId="0" fontId="0" fillId="0" borderId="30" xfId="0" applyFill="1" applyBorder="1"/>
    <xf numFmtId="0" fontId="2" fillId="2" borderId="3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0" fillId="0" borderId="0" xfId="0" applyAlignment="1">
      <alignment textRotation="45"/>
    </xf>
    <xf numFmtId="0" fontId="2" fillId="3" borderId="1" xfId="0" applyFont="1" applyFill="1" applyBorder="1" applyAlignment="1">
      <alignment horizontal="center" vertical="center" textRotation="45" wrapText="1"/>
    </xf>
    <xf numFmtId="0" fontId="2" fillId="3" borderId="2" xfId="0" applyFont="1" applyFill="1" applyBorder="1" applyAlignment="1">
      <alignment horizontal="center" vertical="center" textRotation="45" wrapText="1"/>
    </xf>
    <xf numFmtId="0" fontId="2" fillId="3" borderId="3" xfId="0" applyFont="1" applyFill="1" applyBorder="1" applyAlignment="1">
      <alignment horizontal="center" vertical="center" textRotation="45" wrapText="1"/>
    </xf>
    <xf numFmtId="0" fontId="2" fillId="3" borderId="4" xfId="0" applyFont="1" applyFill="1" applyBorder="1" applyAlignment="1">
      <alignment horizontal="center" vertical="center" textRotation="45" wrapText="1"/>
    </xf>
    <xf numFmtId="0" fontId="2" fillId="3" borderId="0" xfId="0" applyFont="1" applyFill="1" applyBorder="1" applyAlignment="1">
      <alignment horizontal="center" vertical="center" textRotation="45" wrapText="1"/>
    </xf>
    <xf numFmtId="0" fontId="2" fillId="3" borderId="5" xfId="0" applyFont="1" applyFill="1" applyBorder="1" applyAlignment="1">
      <alignment horizontal="center" vertical="center" textRotation="45" wrapText="1"/>
    </xf>
    <xf numFmtId="0" fontId="2" fillId="4" borderId="1" xfId="0" applyFont="1" applyFill="1" applyBorder="1" applyAlignment="1">
      <alignment horizontal="center" vertical="center" textRotation="45" wrapText="1"/>
    </xf>
    <xf numFmtId="0" fontId="2" fillId="4" borderId="2" xfId="0" applyFont="1" applyFill="1" applyBorder="1" applyAlignment="1">
      <alignment horizontal="center" vertical="center" textRotation="45" wrapText="1"/>
    </xf>
    <xf numFmtId="0" fontId="2" fillId="4" borderId="3" xfId="0" applyFont="1" applyFill="1" applyBorder="1" applyAlignment="1">
      <alignment horizontal="center" vertical="center" textRotation="45" wrapText="1"/>
    </xf>
    <xf numFmtId="0" fontId="2" fillId="4" borderId="4" xfId="0" applyFont="1" applyFill="1" applyBorder="1" applyAlignment="1">
      <alignment horizontal="center" vertical="center" textRotation="45" wrapText="1"/>
    </xf>
    <xf numFmtId="0" fontId="2" fillId="4" borderId="0" xfId="0" applyFont="1" applyFill="1" applyBorder="1" applyAlignment="1">
      <alignment horizontal="center" vertical="center" textRotation="45" wrapText="1"/>
    </xf>
    <xf numFmtId="0" fontId="2" fillId="4" borderId="5" xfId="0" applyFont="1" applyFill="1" applyBorder="1" applyAlignment="1">
      <alignment horizontal="center" vertical="center" textRotation="45" wrapText="1"/>
    </xf>
    <xf numFmtId="0" fontId="2" fillId="2" borderId="1" xfId="0" applyFont="1" applyFill="1" applyBorder="1" applyAlignment="1">
      <alignment horizontal="center" vertical="center" textRotation="45" wrapText="1" shrinkToFit="1"/>
    </xf>
    <xf numFmtId="0" fontId="2" fillId="2" borderId="2" xfId="0" applyFont="1" applyFill="1" applyBorder="1" applyAlignment="1">
      <alignment horizontal="center" vertical="center" textRotation="45" wrapText="1" shrinkToFit="1"/>
    </xf>
    <xf numFmtId="0" fontId="2" fillId="2" borderId="3" xfId="0" applyFont="1" applyFill="1" applyBorder="1" applyAlignment="1">
      <alignment horizontal="center" vertical="center" textRotation="45" wrapText="1" shrinkToFit="1"/>
    </xf>
    <xf numFmtId="0" fontId="2" fillId="2" borderId="4" xfId="0" applyFont="1" applyFill="1" applyBorder="1" applyAlignment="1">
      <alignment horizontal="center" vertical="center" textRotation="45" wrapText="1" shrinkToFit="1"/>
    </xf>
    <xf numFmtId="0" fontId="2" fillId="2" borderId="0" xfId="0" applyFont="1" applyFill="1" applyBorder="1" applyAlignment="1">
      <alignment horizontal="center" vertical="center" textRotation="45" wrapText="1" shrinkToFit="1"/>
    </xf>
    <xf numFmtId="0" fontId="2" fillId="2" borderId="5" xfId="0" applyFont="1" applyFill="1" applyBorder="1" applyAlignment="1">
      <alignment horizontal="center" vertical="center" textRotation="45" wrapText="1" shrinkToFit="1"/>
    </xf>
  </cellXfs>
  <cellStyles count="2">
    <cellStyle name="Normal" xfId="0" builtinId="0"/>
    <cellStyle name="Normal 2" xfId="1" xr:uid="{00000000-0005-0000-0000-000001000000}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Results!$A$2</c:f>
              <c:strCache>
                <c:ptCount val="1"/>
                <c:pt idx="0">
                  <c:v>Consolidated Weighted Scores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Results!$B$1:$D$1</c:f>
              <c:strCache>
                <c:ptCount val="3"/>
                <c:pt idx="0">
                  <c:v>2006 Mercedes E55 AMG</c:v>
                </c:pt>
                <c:pt idx="1">
                  <c:v>2018 Toyota Tacoma</c:v>
                </c:pt>
                <c:pt idx="2">
                  <c:v>2024 Subaru BRZ</c:v>
                </c:pt>
              </c:strCache>
            </c:strRef>
          </c:cat>
          <c:val>
            <c:numRef>
              <c:f>Results!$B$2:$D$2</c:f>
              <c:numCache>
                <c:formatCode>General</c:formatCode>
                <c:ptCount val="3"/>
                <c:pt idx="0">
                  <c:v>334</c:v>
                </c:pt>
                <c:pt idx="1">
                  <c:v>280</c:v>
                </c:pt>
                <c:pt idx="2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F-6C42-8B2E-51F8F51EC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4343424"/>
        <c:axId val="2044342080"/>
        <c:axId val="0"/>
      </c:bar3DChart>
      <c:catAx>
        <c:axId val="204434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Different</a:t>
                </a:r>
                <a:r>
                  <a:rPr lang="en-US" baseline="0"/>
                  <a:t> solutions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44342080"/>
        <c:crosses val="autoZero"/>
        <c:auto val="1"/>
        <c:lblAlgn val="ctr"/>
        <c:lblOffset val="100"/>
        <c:noMultiLvlLbl val="0"/>
      </c:catAx>
      <c:valAx>
        <c:axId val="20443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Weighted Score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4434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30603</xdr:colOff>
      <xdr:row>25</xdr:row>
      <xdr:rowOff>45903</xdr:rowOff>
    </xdr:from>
    <xdr:to>
      <xdr:col>8</xdr:col>
      <xdr:colOff>459036</xdr:colOff>
      <xdr:row>47</xdr:row>
      <xdr:rowOff>30601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F4351F-B57F-AA49-9159-1075C7077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="86" zoomScaleNormal="190" workbookViewId="0">
      <selection activeCell="C5" sqref="C5"/>
    </sheetView>
  </sheetViews>
  <sheetFormatPr baseColWidth="10" defaultColWidth="8.83203125" defaultRowHeight="16" x14ac:dyDescent="0.2"/>
  <cols>
    <col min="1" max="1" width="10.5" customWidth="1"/>
    <col min="2" max="2" width="35.83203125" customWidth="1"/>
    <col min="4" max="4" width="25.33203125" customWidth="1"/>
    <col min="5" max="5" width="16.33203125" bestFit="1" customWidth="1"/>
    <col min="6" max="6" width="23.1640625" customWidth="1"/>
    <col min="7" max="7" width="26.6640625" customWidth="1"/>
    <col min="9" max="9" width="28" customWidth="1"/>
    <col min="10" max="10" width="28.1640625" customWidth="1"/>
    <col min="11" max="11" width="11.6640625" customWidth="1"/>
    <col min="12" max="12" width="22" customWidth="1"/>
    <col min="15" max="15" width="33.1640625" customWidth="1"/>
    <col min="16" max="17" width="17.83203125" customWidth="1"/>
  </cols>
  <sheetData>
    <row r="1" spans="1:17" ht="35" customHeight="1" thickBot="1" x14ac:dyDescent="0.25">
      <c r="B1" s="2"/>
      <c r="D1" s="5" t="s">
        <v>19</v>
      </c>
      <c r="E1" s="6"/>
      <c r="F1" s="6"/>
      <c r="G1" s="6"/>
      <c r="H1" s="6"/>
      <c r="I1" s="6"/>
      <c r="J1" s="6"/>
      <c r="K1" s="6"/>
      <c r="L1" s="6"/>
    </row>
    <row r="2" spans="1:17" ht="33" customHeight="1" x14ac:dyDescent="0.2">
      <c r="D2" s="81" t="s">
        <v>31</v>
      </c>
      <c r="E2" s="82"/>
      <c r="F2" s="83"/>
      <c r="G2" s="69" t="s">
        <v>32</v>
      </c>
      <c r="H2" s="70"/>
      <c r="I2" s="71"/>
      <c r="J2" s="75" t="s">
        <v>33</v>
      </c>
      <c r="K2" s="76"/>
      <c r="L2" s="77"/>
      <c r="O2" t="s">
        <v>12</v>
      </c>
      <c r="P2" t="s">
        <v>15</v>
      </c>
      <c r="Q2" t="s">
        <v>16</v>
      </c>
    </row>
    <row r="3" spans="1:17" ht="30" customHeight="1" x14ac:dyDescent="0.2">
      <c r="D3" s="84"/>
      <c r="E3" s="85"/>
      <c r="F3" s="86"/>
      <c r="G3" s="72"/>
      <c r="H3" s="73"/>
      <c r="I3" s="74"/>
      <c r="J3" s="78"/>
      <c r="K3" s="79"/>
      <c r="L3" s="80"/>
      <c r="O3" t="s">
        <v>27</v>
      </c>
      <c r="P3" t="s">
        <v>17</v>
      </c>
      <c r="Q3">
        <v>0</v>
      </c>
    </row>
    <row r="4" spans="1:17" x14ac:dyDescent="0.2">
      <c r="D4" s="84"/>
      <c r="E4" s="85"/>
      <c r="F4" s="86"/>
      <c r="G4" s="72"/>
      <c r="H4" s="73"/>
      <c r="I4" s="74"/>
      <c r="J4" s="78"/>
      <c r="K4" s="79"/>
      <c r="L4" s="80"/>
      <c r="O4" t="s">
        <v>55</v>
      </c>
      <c r="P4" t="s">
        <v>18</v>
      </c>
      <c r="Q4">
        <v>1</v>
      </c>
    </row>
    <row r="5" spans="1:17" x14ac:dyDescent="0.2">
      <c r="A5" s="2"/>
      <c r="B5" s="2"/>
      <c r="C5" s="2"/>
      <c r="D5" s="59" t="s">
        <v>20</v>
      </c>
      <c r="E5" s="60"/>
      <c r="F5" s="61"/>
      <c r="G5" s="62" t="s">
        <v>21</v>
      </c>
      <c r="H5" s="63"/>
      <c r="I5" s="64"/>
      <c r="J5" s="65" t="s">
        <v>22</v>
      </c>
      <c r="K5" s="66"/>
      <c r="L5" s="67"/>
      <c r="O5" t="s">
        <v>28</v>
      </c>
      <c r="Q5">
        <v>2</v>
      </c>
    </row>
    <row r="6" spans="1:17" x14ac:dyDescent="0.2">
      <c r="A6" s="2"/>
      <c r="B6" s="26" t="s">
        <v>0</v>
      </c>
      <c r="C6" s="2"/>
      <c r="D6" s="24" t="s">
        <v>13</v>
      </c>
      <c r="E6" s="12" t="s">
        <v>4</v>
      </c>
      <c r="F6" s="25" t="s">
        <v>14</v>
      </c>
      <c r="G6" s="30" t="s">
        <v>13</v>
      </c>
      <c r="H6" s="31" t="s">
        <v>5</v>
      </c>
      <c r="I6" s="32" t="s">
        <v>14</v>
      </c>
      <c r="J6" s="42" t="s">
        <v>13</v>
      </c>
      <c r="K6" s="43" t="s">
        <v>5</v>
      </c>
      <c r="L6" s="44" t="s">
        <v>14</v>
      </c>
      <c r="O6" t="s">
        <v>23</v>
      </c>
      <c r="Q6">
        <v>3</v>
      </c>
    </row>
    <row r="7" spans="1:17" x14ac:dyDescent="0.2">
      <c r="A7" s="8" t="s">
        <v>7</v>
      </c>
      <c r="B7" s="27" t="s">
        <v>27</v>
      </c>
      <c r="D7" s="14"/>
      <c r="E7" s="13" t="s">
        <v>17</v>
      </c>
      <c r="F7" s="15" t="str">
        <f>IF(E7="Yes","Go","No go")</f>
        <v>Go</v>
      </c>
      <c r="G7" s="33"/>
      <c r="H7" s="34" t="s">
        <v>17</v>
      </c>
      <c r="I7" s="35" t="str">
        <f t="shared" ref="I7:I9" si="0">IF(H7="Yes","Go","No go")</f>
        <v>Go</v>
      </c>
      <c r="J7" s="45"/>
      <c r="K7" s="46" t="s">
        <v>17</v>
      </c>
      <c r="L7" s="47" t="str">
        <f t="shared" ref="L7:L9" si="1">IF(K7="Yes","Go","No go")</f>
        <v>Go</v>
      </c>
      <c r="O7" t="s">
        <v>24</v>
      </c>
      <c r="Q7">
        <v>4</v>
      </c>
    </row>
    <row r="8" spans="1:17" x14ac:dyDescent="0.2">
      <c r="A8" s="9"/>
      <c r="B8" s="28" t="s">
        <v>55</v>
      </c>
      <c r="D8" s="14"/>
      <c r="E8" s="13" t="s">
        <v>17</v>
      </c>
      <c r="F8" s="15" t="str">
        <f t="shared" ref="F8:F9" si="2">IF(E8="Yes","Go","No go")</f>
        <v>Go</v>
      </c>
      <c r="G8" s="33"/>
      <c r="H8" s="34" t="s">
        <v>18</v>
      </c>
      <c r="I8" s="35" t="str">
        <f t="shared" si="0"/>
        <v>No go</v>
      </c>
      <c r="J8" s="45"/>
      <c r="K8" s="46" t="s">
        <v>17</v>
      </c>
      <c r="L8" s="47" t="str">
        <f t="shared" si="1"/>
        <v>Go</v>
      </c>
      <c r="O8" t="s">
        <v>50</v>
      </c>
      <c r="Q8">
        <v>5</v>
      </c>
    </row>
    <row r="9" spans="1:17" ht="17" thickBot="1" x14ac:dyDescent="0.25">
      <c r="A9" s="10"/>
      <c r="B9" s="29" t="s">
        <v>28</v>
      </c>
      <c r="D9" s="16"/>
      <c r="E9" s="17" t="s">
        <v>17</v>
      </c>
      <c r="F9" s="18" t="str">
        <f t="shared" si="2"/>
        <v>Go</v>
      </c>
      <c r="G9" s="36"/>
      <c r="H9" s="37" t="s">
        <v>17</v>
      </c>
      <c r="I9" s="38" t="str">
        <f t="shared" si="0"/>
        <v>Go</v>
      </c>
      <c r="J9" s="48"/>
      <c r="K9" s="49" t="s">
        <v>17</v>
      </c>
      <c r="L9" s="50" t="str">
        <f t="shared" si="1"/>
        <v>Go</v>
      </c>
      <c r="O9" t="s">
        <v>25</v>
      </c>
      <c r="Q9">
        <v>6</v>
      </c>
    </row>
    <row r="10" spans="1:17" x14ac:dyDescent="0.2">
      <c r="O10" t="s">
        <v>29</v>
      </c>
      <c r="Q10">
        <v>7</v>
      </c>
    </row>
    <row r="11" spans="1:17" x14ac:dyDescent="0.2">
      <c r="E11" s="13" t="s">
        <v>6</v>
      </c>
      <c r="F11" s="13">
        <f>COUNTIF(F7:F10,"Go")</f>
        <v>3</v>
      </c>
      <c r="H11" s="34" t="s">
        <v>6</v>
      </c>
      <c r="I11" s="34">
        <f>COUNTIF(I7:I10,"Go")</f>
        <v>2</v>
      </c>
      <c r="K11" s="46" t="s">
        <v>6</v>
      </c>
      <c r="L11" s="46">
        <f>COUNTIF(L7:L10,"Go")</f>
        <v>3</v>
      </c>
      <c r="O11" t="s">
        <v>26</v>
      </c>
      <c r="Q11">
        <v>8</v>
      </c>
    </row>
    <row r="12" spans="1:17" ht="17" thickBot="1" x14ac:dyDescent="0.25">
      <c r="O12" t="s">
        <v>30</v>
      </c>
      <c r="Q12">
        <v>9</v>
      </c>
    </row>
    <row r="13" spans="1:17" x14ac:dyDescent="0.2">
      <c r="C13" s="2" t="s">
        <v>2</v>
      </c>
      <c r="D13" s="19" t="s">
        <v>13</v>
      </c>
      <c r="E13" s="20" t="s">
        <v>3</v>
      </c>
      <c r="F13" s="21" t="s">
        <v>8</v>
      </c>
      <c r="G13" s="39" t="s">
        <v>13</v>
      </c>
      <c r="H13" s="40" t="s">
        <v>3</v>
      </c>
      <c r="I13" s="41" t="s">
        <v>9</v>
      </c>
      <c r="J13" s="51" t="s">
        <v>13</v>
      </c>
      <c r="K13" s="52" t="s">
        <v>3</v>
      </c>
      <c r="L13" s="53" t="s">
        <v>10</v>
      </c>
      <c r="Q13">
        <v>10</v>
      </c>
    </row>
    <row r="14" spans="1:17" ht="16" customHeight="1" x14ac:dyDescent="0.2">
      <c r="A14" s="11" t="s">
        <v>1</v>
      </c>
      <c r="B14" s="1" t="s">
        <v>23</v>
      </c>
      <c r="C14" s="3">
        <v>4</v>
      </c>
      <c r="D14" s="14" t="s">
        <v>35</v>
      </c>
      <c r="E14" s="13">
        <v>6</v>
      </c>
      <c r="F14" s="15">
        <f>C14*E14</f>
        <v>24</v>
      </c>
      <c r="G14" s="33" t="s">
        <v>34</v>
      </c>
      <c r="H14" s="34">
        <v>10</v>
      </c>
      <c r="I14" s="35">
        <f>C14*H14</f>
        <v>40</v>
      </c>
      <c r="J14" s="45" t="s">
        <v>36</v>
      </c>
      <c r="K14" s="54">
        <v>8</v>
      </c>
      <c r="L14" s="47">
        <f>C14*K14</f>
        <v>32</v>
      </c>
    </row>
    <row r="15" spans="1:17" x14ac:dyDescent="0.2">
      <c r="A15" s="11"/>
      <c r="B15" s="1" t="s">
        <v>24</v>
      </c>
      <c r="C15" s="4">
        <v>7</v>
      </c>
      <c r="D15" s="14" t="s">
        <v>37</v>
      </c>
      <c r="E15" s="13">
        <v>3</v>
      </c>
      <c r="F15" s="15">
        <f t="shared" ref="F15:F20" si="3">C15*E15</f>
        <v>21</v>
      </c>
      <c r="G15" s="33" t="s">
        <v>38</v>
      </c>
      <c r="H15" s="34">
        <v>9</v>
      </c>
      <c r="I15" s="35">
        <f t="shared" ref="I15:I20" si="4">C15*H15</f>
        <v>63</v>
      </c>
      <c r="J15" s="45" t="s">
        <v>39</v>
      </c>
      <c r="K15" s="55">
        <v>8</v>
      </c>
      <c r="L15" s="47">
        <f>C15*K15</f>
        <v>56</v>
      </c>
    </row>
    <row r="16" spans="1:17" x14ac:dyDescent="0.2">
      <c r="A16" s="11"/>
      <c r="B16" s="1" t="s">
        <v>50</v>
      </c>
      <c r="C16" s="4">
        <v>7</v>
      </c>
      <c r="D16" s="14" t="s">
        <v>51</v>
      </c>
      <c r="E16" s="13">
        <v>9</v>
      </c>
      <c r="F16" s="15">
        <f t="shared" si="3"/>
        <v>63</v>
      </c>
      <c r="G16" s="33" t="s">
        <v>40</v>
      </c>
      <c r="H16" s="34">
        <v>5</v>
      </c>
      <c r="I16" s="35">
        <f t="shared" si="4"/>
        <v>35</v>
      </c>
      <c r="J16" s="45" t="s">
        <v>52</v>
      </c>
      <c r="K16" s="55">
        <v>5</v>
      </c>
      <c r="L16" s="47">
        <f t="shared" ref="L16:L20" si="5">C16*K16</f>
        <v>35</v>
      </c>
    </row>
    <row r="17" spans="1:17" x14ac:dyDescent="0.2">
      <c r="A17" s="11"/>
      <c r="B17" s="1" t="s">
        <v>25</v>
      </c>
      <c r="C17" s="4">
        <v>5</v>
      </c>
      <c r="D17" s="14" t="s">
        <v>49</v>
      </c>
      <c r="E17" s="13">
        <v>3</v>
      </c>
      <c r="F17" s="15">
        <f t="shared" si="3"/>
        <v>15</v>
      </c>
      <c r="G17" s="33" t="s">
        <v>41</v>
      </c>
      <c r="H17" s="34">
        <v>6</v>
      </c>
      <c r="I17" s="35">
        <f t="shared" si="4"/>
        <v>30</v>
      </c>
      <c r="J17" s="45" t="s">
        <v>42</v>
      </c>
      <c r="K17" s="46">
        <v>8</v>
      </c>
      <c r="L17" s="47">
        <f t="shared" si="5"/>
        <v>40</v>
      </c>
    </row>
    <row r="18" spans="1:17" x14ac:dyDescent="0.2">
      <c r="A18" s="11"/>
      <c r="B18" s="1" t="s">
        <v>29</v>
      </c>
      <c r="C18" s="4">
        <v>3</v>
      </c>
      <c r="D18" s="14" t="s">
        <v>43</v>
      </c>
      <c r="E18" s="13">
        <v>7</v>
      </c>
      <c r="F18" s="15">
        <f t="shared" si="3"/>
        <v>21</v>
      </c>
      <c r="G18" s="33" t="s">
        <v>44</v>
      </c>
      <c r="H18" s="34">
        <v>9</v>
      </c>
      <c r="I18" s="35">
        <f t="shared" si="4"/>
        <v>27</v>
      </c>
      <c r="J18" s="45" t="s">
        <v>54</v>
      </c>
      <c r="K18" s="55">
        <v>3</v>
      </c>
      <c r="L18" s="47">
        <f t="shared" si="5"/>
        <v>9</v>
      </c>
    </row>
    <row r="19" spans="1:17" x14ac:dyDescent="0.2">
      <c r="A19" s="11"/>
      <c r="B19" s="1" t="s">
        <v>30</v>
      </c>
      <c r="C19" s="4">
        <v>9</v>
      </c>
      <c r="D19" s="14" t="s">
        <v>45</v>
      </c>
      <c r="E19" s="13">
        <v>10</v>
      </c>
      <c r="F19" s="15">
        <f t="shared" si="3"/>
        <v>90</v>
      </c>
      <c r="G19" s="33" t="s">
        <v>46</v>
      </c>
      <c r="H19" s="34">
        <v>5</v>
      </c>
      <c r="I19" s="35">
        <f t="shared" si="4"/>
        <v>45</v>
      </c>
      <c r="J19" s="45" t="s">
        <v>47</v>
      </c>
      <c r="K19" s="55">
        <v>7</v>
      </c>
      <c r="L19" s="47">
        <f t="shared" si="5"/>
        <v>63</v>
      </c>
    </row>
    <row r="20" spans="1:17" ht="17" thickBot="1" x14ac:dyDescent="0.25">
      <c r="A20" s="11"/>
      <c r="B20" s="1" t="s">
        <v>26</v>
      </c>
      <c r="C20" s="4">
        <v>10</v>
      </c>
      <c r="D20" s="16" t="s">
        <v>56</v>
      </c>
      <c r="E20" s="17">
        <v>10</v>
      </c>
      <c r="F20" s="18">
        <f t="shared" si="3"/>
        <v>100</v>
      </c>
      <c r="G20" s="36" t="s">
        <v>48</v>
      </c>
      <c r="H20" s="37">
        <v>4</v>
      </c>
      <c r="I20" s="38">
        <f t="shared" si="4"/>
        <v>40</v>
      </c>
      <c r="J20" s="48" t="s">
        <v>53</v>
      </c>
      <c r="K20" s="56">
        <v>10</v>
      </c>
      <c r="L20" s="50">
        <f t="shared" si="5"/>
        <v>100</v>
      </c>
    </row>
    <row r="21" spans="1:17" ht="17" thickBot="1" x14ac:dyDescent="0.25">
      <c r="C21" s="2"/>
      <c r="D21" s="2"/>
      <c r="E21" s="2"/>
      <c r="F21" s="2"/>
      <c r="G21" s="2"/>
      <c r="H21" s="2"/>
      <c r="I21" s="2"/>
      <c r="J21" s="2"/>
      <c r="K21" s="7"/>
      <c r="L21" s="2"/>
      <c r="O21" s="68"/>
      <c r="P21" s="68"/>
      <c r="Q21" s="68"/>
    </row>
    <row r="22" spans="1:17" ht="17" thickBot="1" x14ac:dyDescent="0.25">
      <c r="C22" s="2"/>
      <c r="D22" s="22" t="s">
        <v>11</v>
      </c>
      <c r="E22" s="23"/>
      <c r="F22" s="57">
        <f>SUM(F14:F20)</f>
        <v>334</v>
      </c>
      <c r="G22" s="23"/>
      <c r="H22" s="23"/>
      <c r="I22" s="57">
        <f>SUM(I14:I20)</f>
        <v>280</v>
      </c>
      <c r="J22" s="23"/>
      <c r="K22" s="23"/>
      <c r="L22" s="58">
        <f>SUM(L14:L20)</f>
        <v>335</v>
      </c>
    </row>
  </sheetData>
  <mergeCells count="9">
    <mergeCell ref="A7:A9"/>
    <mergeCell ref="A14:A20"/>
    <mergeCell ref="D2:F4"/>
    <mergeCell ref="G2:I4"/>
    <mergeCell ref="J2:L4"/>
    <mergeCell ref="D5:F5"/>
    <mergeCell ref="G5:I5"/>
    <mergeCell ref="J5:L5"/>
    <mergeCell ref="D1:L1"/>
  </mergeCells>
  <phoneticPr fontId="3" type="noConversion"/>
  <conditionalFormatting sqref="F7:F9">
    <cfRule type="containsText" dxfId="8" priority="8" operator="containsText" text="No go">
      <formula>NOT(ISERROR(SEARCH("No go",F7)))</formula>
    </cfRule>
    <cfRule type="containsText" dxfId="7" priority="9" operator="containsText" text="Go">
      <formula>NOT(ISERROR(SEARCH("Go",F7)))</formula>
    </cfRule>
  </conditionalFormatting>
  <conditionalFormatting sqref="I7:I9">
    <cfRule type="containsText" dxfId="6" priority="6" operator="containsText" text="No go">
      <formula>NOT(ISERROR(SEARCH("No go",I7)))</formula>
    </cfRule>
    <cfRule type="containsText" dxfId="5" priority="7" operator="containsText" text="Go">
      <formula>NOT(ISERROR(SEARCH("Go",I7)))</formula>
    </cfRule>
  </conditionalFormatting>
  <conditionalFormatting sqref="L7:L9">
    <cfRule type="containsText" dxfId="4" priority="4" operator="containsText" text="No go">
      <formula>NOT(ISERROR(SEARCH("No go",L7)))</formula>
    </cfRule>
    <cfRule type="containsText" dxfId="3" priority="5" operator="containsText" text="Go">
      <formula>NOT(ISERROR(SEARCH("Go",L7)))</formula>
    </cfRule>
  </conditionalFormatting>
  <conditionalFormatting sqref="F22">
    <cfRule type="expression" dxfId="2" priority="3">
      <formula>AND($F$22&gt;$I$22,$F$22&gt;$L$22)</formula>
    </cfRule>
  </conditionalFormatting>
  <conditionalFormatting sqref="I22">
    <cfRule type="expression" dxfId="1" priority="2">
      <formula>AND($I$22&gt;$F$22,$I$22&gt;$L$22)</formula>
    </cfRule>
  </conditionalFormatting>
  <conditionalFormatting sqref="L22">
    <cfRule type="expression" dxfId="0" priority="1" stopIfTrue="1">
      <formula>AND($L$22&gt;$I$22,$L$22&gt;$F$22)</formula>
    </cfRule>
  </conditionalFormatting>
  <dataValidations count="5">
    <dataValidation allowBlank="1" showInputMessage="1" showErrorMessage="1" promptTitle="Wants" prompt="Select the criteria to consider" sqref="A21" xr:uid="{00000000-0002-0000-0000-000000000000}"/>
    <dataValidation type="list" allowBlank="1" showInputMessage="1" showErrorMessage="1" promptTitle="Yes/No dropdown list" prompt="Please select if the solution fulfills this must/want" sqref="E7:E9 H7:H9 K7:K9" xr:uid="{156F2072-9ED8-E347-B89C-6CBDF92DB019}">
      <formula1>$P$3:$P$4</formula1>
    </dataValidation>
    <dataValidation type="list" allowBlank="1" showInputMessage="1" showErrorMessage="1" errorTitle="Invalid value" error="Please select a valid entry" promptTitle="Decision making objectives" prompt="Select the objective to consider_x000a_" sqref="B7:B9 B14:B20" xr:uid="{D4F44D43-DC12-7842-AAB5-3050806C41C4}">
      <formula1>$O$3:$O$12</formula1>
    </dataValidation>
    <dataValidation type="list" allowBlank="1" showInputMessage="1" showErrorMessage="1" promptTitle="Input the weights" prompt="Input the weights" sqref="C14:C21" xr:uid="{03A61D46-B071-D145-BDF0-4B36630209D2}">
      <formula1>$Q$3:$Q$13</formula1>
    </dataValidation>
    <dataValidation type="list" allowBlank="1" showInputMessage="1" showErrorMessage="1" promptTitle="Input the ratings" prompt="Input the ratings" sqref="E14:E21 H14:H21 K14:K21" xr:uid="{2875CCE7-6056-D245-B974-C0CEF4AD84A9}">
      <formula1>$Q$3:$Q$13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D592-426D-2840-8866-E89ADD9A1B74}">
  <dimension ref="A1:D2"/>
  <sheetViews>
    <sheetView workbookViewId="0">
      <selection activeCell="C9" sqref="C9:C11"/>
    </sheetView>
  </sheetViews>
  <sheetFormatPr baseColWidth="10" defaultRowHeight="16" x14ac:dyDescent="0.2"/>
  <cols>
    <col min="1" max="1" width="32.5" customWidth="1"/>
    <col min="2" max="2" width="32.6640625" customWidth="1"/>
    <col min="3" max="3" width="33.5" customWidth="1"/>
    <col min="4" max="4" width="32.5" customWidth="1"/>
  </cols>
  <sheetData>
    <row r="1" spans="1:4" ht="143" x14ac:dyDescent="0.2">
      <c r="B1" s="68" t="str">
        <f>'Decision Making Matrix'!D5</f>
        <v>2006 Mercedes E55 AMG</v>
      </c>
      <c r="C1" s="68" t="str">
        <f>'Decision Making Matrix'!G5</f>
        <v>2018 Toyota Tacoma</v>
      </c>
      <c r="D1" s="68" t="str">
        <f>'Decision Making Matrix'!J5</f>
        <v>2024 Subaru BRZ</v>
      </c>
    </row>
    <row r="2" spans="1:4" x14ac:dyDescent="0.2">
      <c r="A2" t="s">
        <v>11</v>
      </c>
      <c r="B2">
        <f>'Decision Making Matrix'!F22</f>
        <v>334</v>
      </c>
      <c r="C2">
        <f>'Decision Making Matrix'!I22</f>
        <v>280</v>
      </c>
      <c r="D2">
        <f>'Decision Making Matrix'!L22</f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58FB-753E-2042-9556-6394E3F5BE1A}">
  <dimension ref="A1"/>
  <sheetViews>
    <sheetView workbookViewId="0">
      <selection activeCell="J12" sqref="J12"/>
    </sheetView>
  </sheetViews>
  <sheetFormatPr baseColWidth="10" defaultRowHeight="16" x14ac:dyDescent="0.2"/>
  <sheetData>
    <row r="1" spans="1:1" x14ac:dyDescent="0.2">
      <c r="A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Making Matrix</vt:lpstr>
      <vt:lpstr>Results</vt:lpstr>
      <vt:lpstr>Honor Pledge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Dickrell</dc:creator>
  <cp:lastModifiedBy>Cha, Josh</cp:lastModifiedBy>
  <dcterms:created xsi:type="dcterms:W3CDTF">2015-02-10T18:21:37Z</dcterms:created>
  <dcterms:modified xsi:type="dcterms:W3CDTF">2026-03-10T00:03:17Z</dcterms:modified>
</cp:coreProperties>
</file>