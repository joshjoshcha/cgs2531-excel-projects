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chajeonghun/Desktop/CGS2531/"/>
    </mc:Choice>
  </mc:AlternateContent>
  <xr:revisionPtr revIDLastSave="0" documentId="13_ncr:1_{9717BCC2-C4B2-0344-B52C-C2FBD79F2B5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ouse price" sheetId="1" r:id="rId1"/>
    <sheet name="Toolpak" sheetId="3" r:id="rId2"/>
    <sheet name="Honor pledge" sheetId="2" r:id="rId3"/>
  </sheets>
  <definedNames>
    <definedName name="_xlchart.v1.0" hidden="1">'House price'!$B$4:$B$31</definedName>
    <definedName name="_xlchart.v1.1" hidden="1">'House price'!$C$3</definedName>
    <definedName name="_xlchart.v1.2" hidden="1">'House price'!$C$4:$C$31</definedName>
    <definedName name="_xlchart.v1.3" hidden="1">'House price'!$D$3</definedName>
    <definedName name="_xlchart.v1.4" hidden="1">'House price'!$D$4:$D$31</definedName>
    <definedName name="_xlchart.v1.5" hidden="1">'House price'!$B$4:$B$31</definedName>
    <definedName name="_xlchart.v1.6" hidden="1">'House price'!$C$3</definedName>
    <definedName name="_xlchart.v1.7" hidden="1">'House price'!$C$4:$C$31</definedName>
    <definedName name="_xlchart.v1.8" hidden="1">'House price'!$D$3</definedName>
    <definedName name="_xlchart.v1.9" hidden="1">'House price'!$D$4:$D$31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1" l="1"/>
  <c r="H37" i="1"/>
  <c r="C33" i="1"/>
  <c r="H7" i="1" s="1"/>
  <c r="B33" i="1"/>
  <c r="G10" i="1" s="1"/>
  <c r="I10" i="1" l="1"/>
  <c r="G24" i="1"/>
  <c r="G16" i="1"/>
  <c r="G8" i="1"/>
  <c r="H29" i="1"/>
  <c r="H21" i="1"/>
  <c r="H13" i="1"/>
  <c r="H5" i="1"/>
  <c r="G25" i="1"/>
  <c r="H30" i="1"/>
  <c r="H6" i="1"/>
  <c r="G23" i="1"/>
  <c r="H28" i="1"/>
  <c r="G14" i="1"/>
  <c r="G29" i="1"/>
  <c r="G21" i="1"/>
  <c r="G13" i="1"/>
  <c r="G5" i="1"/>
  <c r="H26" i="1"/>
  <c r="H18" i="1"/>
  <c r="H10" i="1"/>
  <c r="J10" i="1" s="1"/>
  <c r="G28" i="1"/>
  <c r="G20" i="1"/>
  <c r="G12" i="1"/>
  <c r="G31" i="1"/>
  <c r="H25" i="1"/>
  <c r="H17" i="1"/>
  <c r="H9" i="1"/>
  <c r="G9" i="1"/>
  <c r="H14" i="1"/>
  <c r="G15" i="1"/>
  <c r="H12" i="1"/>
  <c r="G30" i="1"/>
  <c r="G22" i="1"/>
  <c r="H27" i="1"/>
  <c r="H19" i="1"/>
  <c r="H11" i="1"/>
  <c r="G27" i="1"/>
  <c r="G11" i="1"/>
  <c r="H8" i="1"/>
  <c r="G17" i="1"/>
  <c r="H22" i="1"/>
  <c r="G4" i="1"/>
  <c r="G7" i="1"/>
  <c r="H20" i="1"/>
  <c r="G6" i="1"/>
  <c r="G19" i="1"/>
  <c r="H4" i="1"/>
  <c r="H24" i="1"/>
  <c r="H16" i="1"/>
  <c r="G26" i="1"/>
  <c r="G18" i="1"/>
  <c r="H31" i="1"/>
  <c r="H23" i="1"/>
  <c r="H15" i="1"/>
  <c r="J14" i="1" l="1"/>
  <c r="I14" i="1"/>
  <c r="J7" i="1"/>
  <c r="I7" i="1"/>
  <c r="J17" i="1"/>
  <c r="I17" i="1"/>
  <c r="J6" i="1"/>
  <c r="I6" i="1"/>
  <c r="I20" i="1"/>
  <c r="J20" i="1"/>
  <c r="I28" i="1"/>
  <c r="J28" i="1"/>
  <c r="J18" i="1"/>
  <c r="I18" i="1"/>
  <c r="I26" i="1"/>
  <c r="J26" i="1"/>
  <c r="J23" i="1"/>
  <c r="I23" i="1"/>
  <c r="I13" i="1"/>
  <c r="J13" i="1"/>
  <c r="I27" i="1"/>
  <c r="J27" i="1"/>
  <c r="I29" i="1"/>
  <c r="J29" i="1"/>
  <c r="J9" i="1"/>
  <c r="I9" i="1"/>
  <c r="J4" i="1"/>
  <c r="I4" i="1"/>
  <c r="J8" i="1"/>
  <c r="I8" i="1"/>
  <c r="I22" i="1"/>
  <c r="J22" i="1"/>
  <c r="J16" i="1"/>
  <c r="I16" i="1"/>
  <c r="J30" i="1"/>
  <c r="I30" i="1"/>
  <c r="I5" i="1"/>
  <c r="J5" i="1"/>
  <c r="J24" i="1"/>
  <c r="I24" i="1"/>
  <c r="J31" i="1"/>
  <c r="I31" i="1"/>
  <c r="J25" i="1"/>
  <c r="I25" i="1"/>
  <c r="I19" i="1"/>
  <c r="J19" i="1"/>
  <c r="I11" i="1"/>
  <c r="J11" i="1"/>
  <c r="J15" i="1"/>
  <c r="I15" i="1"/>
  <c r="I12" i="1"/>
  <c r="J12" i="1"/>
  <c r="I21" i="1"/>
  <c r="J21" i="1"/>
  <c r="I32" i="1" l="1"/>
  <c r="J32" i="1"/>
  <c r="H34" i="1" s="1"/>
  <c r="H35" i="1" s="1"/>
  <c r="D5" i="1" l="1"/>
  <c r="D13" i="1"/>
  <c r="D21" i="1"/>
  <c r="D29" i="1"/>
  <c r="D14" i="1"/>
  <c r="D26" i="1"/>
  <c r="D6" i="1"/>
  <c r="D22" i="1"/>
  <c r="D30" i="1"/>
  <c r="D18" i="1"/>
  <c r="D20" i="1"/>
  <c r="D7" i="1"/>
  <c r="D15" i="1"/>
  <c r="D23" i="1"/>
  <c r="D31" i="1"/>
  <c r="D8" i="1"/>
  <c r="D16" i="1"/>
  <c r="D24" i="1"/>
  <c r="D4" i="1"/>
  <c r="D9" i="1"/>
  <c r="D17" i="1"/>
  <c r="D25" i="1"/>
  <c r="D10" i="1"/>
  <c r="D28" i="1"/>
  <c r="D11" i="1"/>
  <c r="D19" i="1"/>
  <c r="D27" i="1"/>
  <c r="D12" i="1"/>
</calcChain>
</file>

<file path=xl/sharedStrings.xml><?xml version="1.0" encoding="utf-8"?>
<sst xmlns="http://schemas.openxmlformats.org/spreadsheetml/2006/main" count="50" uniqueCount="45">
  <si>
    <t>y</t>
  </si>
  <si>
    <t>x2</t>
  </si>
  <si>
    <t>y'</t>
  </si>
  <si>
    <t>#</t>
  </si>
  <si>
    <t>Sale_price ($)</t>
  </si>
  <si>
    <t>Living_space (sq_ft)</t>
  </si>
  <si>
    <t>Last digit UF_ID
2 or 3</t>
  </si>
  <si>
    <t>On my honor, I, Josh Cha,have neither given nor received unauthorized aid in doing this assignment.</t>
  </si>
  <si>
    <t>x-xbar</t>
  </si>
  <si>
    <t>y-ybar</t>
  </si>
  <si>
    <t>(x-xbar)^2</t>
  </si>
  <si>
    <t>(x-xbar)(y-ybar)</t>
  </si>
  <si>
    <t>Average</t>
  </si>
  <si>
    <t>Slope</t>
  </si>
  <si>
    <t>Intercept</t>
  </si>
  <si>
    <t xml:space="preserve">Slope </t>
  </si>
  <si>
    <t>Total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</si>
  <si>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</si>
  <si>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</si>
  <si>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</si>
  <si>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</si>
  <si>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</si>
  <si>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</si>
  <si>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</si>
  <si>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</si>
  <si>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</si>
  <si>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</si>
  <si>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</si>
  <si>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</si>
  <si>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</si>
  <si>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</si>
  <si>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</si>
  <si>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</si>
  <si>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</si>
  <si>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</si>
  <si>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</si>
  <si>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</si>
  <si>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</si>
  <si>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</si>
  <si>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</si>
  <si>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Toolpak Results</t>
  </si>
  <si>
    <t>Manual calculation results</t>
  </si>
  <si>
    <t>Sales_price_predicted ($)</t>
  </si>
  <si>
    <t>Equation</t>
  </si>
  <si>
    <t>y' = -15507.872 + 605.572 *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</si>
</sst>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#,##0.000000000"/>
    <numFmt numFmtId="173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64" fontId="2" fillId="0" borderId="0" xfId="1" applyNumberFormat="1" applyFont="1" applyFill="1" applyBorder="1"/>
    <xf numFmtId="165" fontId="0" fillId="0" borderId="0" xfId="0" applyNumberFormat="1"/>
    <xf numFmtId="0" fontId="3" fillId="0" borderId="0" xfId="0" applyFont="1" applyAlignment="1">
      <alignment horizontal="center" vertical="top" wrapText="1"/>
    </xf>
    <xf numFmtId="0" fontId="4" fillId="0" borderId="0" xfId="0" applyFont="1"/>
    <xf numFmtId="166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0" fontId="0" fillId="3" borderId="0" xfId="0" applyFill="1" applyBorder="1" applyAlignment="1"/>
    <xf numFmtId="0" fontId="0" fillId="4" borderId="1" xfId="0" applyFill="1" applyBorder="1" applyAlignment="1"/>
    <xf numFmtId="0" fontId="0" fillId="4" borderId="0" xfId="0" applyFill="1"/>
    <xf numFmtId="0" fontId="0" fillId="5" borderId="0" xfId="0" applyFill="1" applyAlignment="1">
      <alignment horizontal="center" vertical="center" wrapText="1" shrinkToFit="1"/>
    </xf>
    <xf numFmtId="17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 price ($)</a:t>
            </a:r>
            <a:r>
              <a:rPr lang="en-US" baseline="0"/>
              <a:t> vs Living space (sq ft)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'House price'!$C$1:$C$3</c:f>
              <c:strCache>
                <c:ptCount val="3"/>
                <c:pt idx="0">
                  <c:v>Last digit UF_ID
2 or 3</c:v>
                </c:pt>
                <c:pt idx="1">
                  <c:v>y</c:v>
                </c:pt>
                <c:pt idx="2">
                  <c:v>Sale_price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'House price'!$B$4:$B$31</c:f>
              <c:numCache>
                <c:formatCode>General</c:formatCode>
                <c:ptCount val="28"/>
                <c:pt idx="0">
                  <c:v>936.64775286534541</c:v>
                </c:pt>
                <c:pt idx="1">
                  <c:v>1407.787203705429</c:v>
                </c:pt>
                <c:pt idx="2">
                  <c:v>1102.7666429025862</c:v>
                </c:pt>
                <c:pt idx="3">
                  <c:v>1156.2625566433924</c:v>
                </c:pt>
                <c:pt idx="4">
                  <c:v>1052.0863035691907</c:v>
                </c:pt>
                <c:pt idx="5">
                  <c:v>927.26250484064269</c:v>
                </c:pt>
                <c:pt idx="6">
                  <c:v>1163.7707550631546</c:v>
                </c:pt>
                <c:pt idx="7">
                  <c:v>1408.7257285078995</c:v>
                </c:pt>
                <c:pt idx="8">
                  <c:v>3209.7548244483783</c:v>
                </c:pt>
                <c:pt idx="9">
                  <c:v>3003.279367904915</c:v>
                </c:pt>
                <c:pt idx="10">
                  <c:v>1149.6928830261004</c:v>
                </c:pt>
                <c:pt idx="11">
                  <c:v>1456.5904934338841</c:v>
                </c:pt>
                <c:pt idx="12">
                  <c:v>915.06168240852878</c:v>
                </c:pt>
                <c:pt idx="13">
                  <c:v>1052.0863035691907</c:v>
                </c:pt>
                <c:pt idx="14">
                  <c:v>957.29529851969176</c:v>
                </c:pt>
                <c:pt idx="15">
                  <c:v>1408.7257285078995</c:v>
                </c:pt>
                <c:pt idx="16">
                  <c:v>1561.7052713105556</c:v>
                </c:pt>
                <c:pt idx="17">
                  <c:v>1396.5249060757856</c:v>
                </c:pt>
                <c:pt idx="18">
                  <c:v>1291.4101281991136</c:v>
                </c:pt>
                <c:pt idx="19">
                  <c:v>1407.787203705429</c:v>
                </c:pt>
                <c:pt idx="20">
                  <c:v>1178.7871519026792</c:v>
                </c:pt>
                <c:pt idx="21">
                  <c:v>1586.1069161747835</c:v>
                </c:pt>
                <c:pt idx="22">
                  <c:v>1708.1151404959205</c:v>
                </c:pt>
                <c:pt idx="23">
                  <c:v>1550.4429736809122</c:v>
                </c:pt>
                <c:pt idx="24">
                  <c:v>1667.7585739896983</c:v>
                </c:pt>
                <c:pt idx="25">
                  <c:v>1411.5413029153103</c:v>
                </c:pt>
                <c:pt idx="26">
                  <c:v>1718.4389133230936</c:v>
                </c:pt>
                <c:pt idx="27">
                  <c:v>1877.049604940572</c:v>
                </c:pt>
              </c:numCache>
            </c:numRef>
          </c:xVal>
          <c:yVal>
            <c:numRef>
              <c:f>'House price'!$C$4:$C$31</c:f>
              <c:numCache>
                <c:formatCode>"$"#,##0.00</c:formatCode>
                <c:ptCount val="28"/>
                <c:pt idx="0">
                  <c:v>588289.29156000004</c:v>
                </c:pt>
                <c:pt idx="1">
                  <c:v>600635.04048000008</c:v>
                </c:pt>
                <c:pt idx="2">
                  <c:v>543464.17411499994</c:v>
                </c:pt>
                <c:pt idx="3">
                  <c:v>545186.83675500005</c:v>
                </c:pt>
                <c:pt idx="4">
                  <c:v>605288.62219500006</c:v>
                </c:pt>
                <c:pt idx="5">
                  <c:v>465477.80085</c:v>
                </c:pt>
                <c:pt idx="6">
                  <c:v>705573.90630000003</c:v>
                </c:pt>
                <c:pt idx="7">
                  <c:v>670390.91446499992</c:v>
                </c:pt>
                <c:pt idx="8">
                  <c:v>1964337.8528700001</c:v>
                </c:pt>
                <c:pt idx="9">
                  <c:v>1729816.4751299999</c:v>
                </c:pt>
                <c:pt idx="10">
                  <c:v>697223.77766999998</c:v>
                </c:pt>
                <c:pt idx="11">
                  <c:v>634071.44380500005</c:v>
                </c:pt>
                <c:pt idx="12">
                  <c:v>750219.57972000004</c:v>
                </c:pt>
                <c:pt idx="13">
                  <c:v>712895.22252000007</c:v>
                </c:pt>
                <c:pt idx="14">
                  <c:v>604128.21750000003</c:v>
                </c:pt>
                <c:pt idx="15">
                  <c:v>670390.91446499992</c:v>
                </c:pt>
                <c:pt idx="16">
                  <c:v>986511.47184000001</c:v>
                </c:pt>
                <c:pt idx="17">
                  <c:v>801145.79401499999</c:v>
                </c:pt>
                <c:pt idx="18">
                  <c:v>931206.82333499996</c:v>
                </c:pt>
                <c:pt idx="19">
                  <c:v>1081257.91704</c:v>
                </c:pt>
                <c:pt idx="20">
                  <c:v>716508.02888999996</c:v>
                </c:pt>
                <c:pt idx="21">
                  <c:v>902268.48357000004</c:v>
                </c:pt>
                <c:pt idx="22">
                  <c:v>1052152.0961849999</c:v>
                </c:pt>
                <c:pt idx="23">
                  <c:v>728913.59248500003</c:v>
                </c:pt>
                <c:pt idx="24">
                  <c:v>1000185.106545</c:v>
                </c:pt>
                <c:pt idx="25">
                  <c:v>973782.90899999999</c:v>
                </c:pt>
                <c:pt idx="26">
                  <c:v>1093603.6659600001</c:v>
                </c:pt>
                <c:pt idx="27">
                  <c:v>1435552.2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4-314E-A3C1-985775D65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331200"/>
        <c:axId val="2066319552"/>
      </c:scatterChart>
      <c:valAx>
        <c:axId val="206633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Living</a:t>
                </a:r>
                <a:r>
                  <a:rPr lang="en-US" baseline="0"/>
                  <a:t> space (Sq ft)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66319552"/>
        <c:crosses val="autoZero"/>
        <c:crossBetween val="midCat"/>
      </c:valAx>
      <c:valAx>
        <c:axId val="206631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</a:t>
                </a:r>
                <a:r>
                  <a:rPr lang="en-US" baseline="0"/>
                  <a:t>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206633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Actual/Predicted</a:t>
            </a:r>
            <a:r>
              <a:rPr lang="en-US" baseline="0"/>
              <a:t> Sale price ($) vs Living space (sq ft)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'House price'!$C$3</c:f>
              <c:strCache>
                <c:ptCount val="1"/>
                <c:pt idx="0">
                  <c:v>Sale_price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'House price'!$B$4:$B$31</c:f>
              <c:numCache>
                <c:formatCode>General</c:formatCode>
                <c:ptCount val="28"/>
                <c:pt idx="0">
                  <c:v>936.64775286534541</c:v>
                </c:pt>
                <c:pt idx="1">
                  <c:v>1407.787203705429</c:v>
                </c:pt>
                <c:pt idx="2">
                  <c:v>1102.7666429025862</c:v>
                </c:pt>
                <c:pt idx="3">
                  <c:v>1156.2625566433924</c:v>
                </c:pt>
                <c:pt idx="4">
                  <c:v>1052.0863035691907</c:v>
                </c:pt>
                <c:pt idx="5">
                  <c:v>927.26250484064269</c:v>
                </c:pt>
                <c:pt idx="6">
                  <c:v>1163.7707550631546</c:v>
                </c:pt>
                <c:pt idx="7">
                  <c:v>1408.7257285078995</c:v>
                </c:pt>
                <c:pt idx="8">
                  <c:v>3209.7548244483783</c:v>
                </c:pt>
                <c:pt idx="9">
                  <c:v>3003.279367904915</c:v>
                </c:pt>
                <c:pt idx="10">
                  <c:v>1149.6928830261004</c:v>
                </c:pt>
                <c:pt idx="11">
                  <c:v>1456.5904934338841</c:v>
                </c:pt>
                <c:pt idx="12">
                  <c:v>915.06168240852878</c:v>
                </c:pt>
                <c:pt idx="13">
                  <c:v>1052.0863035691907</c:v>
                </c:pt>
                <c:pt idx="14">
                  <c:v>957.29529851969176</c:v>
                </c:pt>
                <c:pt idx="15">
                  <c:v>1408.7257285078995</c:v>
                </c:pt>
                <c:pt idx="16">
                  <c:v>1561.7052713105556</c:v>
                </c:pt>
                <c:pt idx="17">
                  <c:v>1396.5249060757856</c:v>
                </c:pt>
                <c:pt idx="18">
                  <c:v>1291.4101281991136</c:v>
                </c:pt>
                <c:pt idx="19">
                  <c:v>1407.787203705429</c:v>
                </c:pt>
                <c:pt idx="20">
                  <c:v>1178.7871519026792</c:v>
                </c:pt>
                <c:pt idx="21">
                  <c:v>1586.1069161747835</c:v>
                </c:pt>
                <c:pt idx="22">
                  <c:v>1708.1151404959205</c:v>
                </c:pt>
                <c:pt idx="23">
                  <c:v>1550.4429736809122</c:v>
                </c:pt>
                <c:pt idx="24">
                  <c:v>1667.7585739896983</c:v>
                </c:pt>
                <c:pt idx="25">
                  <c:v>1411.5413029153103</c:v>
                </c:pt>
                <c:pt idx="26">
                  <c:v>1718.4389133230936</c:v>
                </c:pt>
                <c:pt idx="27">
                  <c:v>1877.049604940572</c:v>
                </c:pt>
              </c:numCache>
            </c:numRef>
          </c:xVal>
          <c:yVal>
            <c:numRef>
              <c:f>'House price'!$C$4:$C$31</c:f>
              <c:numCache>
                <c:formatCode>"$"#,##0.00</c:formatCode>
                <c:ptCount val="28"/>
                <c:pt idx="0">
                  <c:v>588289.29156000004</c:v>
                </c:pt>
                <c:pt idx="1">
                  <c:v>600635.04048000008</c:v>
                </c:pt>
                <c:pt idx="2">
                  <c:v>543464.17411499994</c:v>
                </c:pt>
                <c:pt idx="3">
                  <c:v>545186.83675500005</c:v>
                </c:pt>
                <c:pt idx="4">
                  <c:v>605288.62219500006</c:v>
                </c:pt>
                <c:pt idx="5">
                  <c:v>465477.80085</c:v>
                </c:pt>
                <c:pt idx="6">
                  <c:v>705573.90630000003</c:v>
                </c:pt>
                <c:pt idx="7">
                  <c:v>670390.91446499992</c:v>
                </c:pt>
                <c:pt idx="8">
                  <c:v>1964337.8528700001</c:v>
                </c:pt>
                <c:pt idx="9">
                  <c:v>1729816.4751299999</c:v>
                </c:pt>
                <c:pt idx="10">
                  <c:v>697223.77766999998</c:v>
                </c:pt>
                <c:pt idx="11">
                  <c:v>634071.44380500005</c:v>
                </c:pt>
                <c:pt idx="12">
                  <c:v>750219.57972000004</c:v>
                </c:pt>
                <c:pt idx="13">
                  <c:v>712895.22252000007</c:v>
                </c:pt>
                <c:pt idx="14">
                  <c:v>604128.21750000003</c:v>
                </c:pt>
                <c:pt idx="15">
                  <c:v>670390.91446499992</c:v>
                </c:pt>
                <c:pt idx="16">
                  <c:v>986511.47184000001</c:v>
                </c:pt>
                <c:pt idx="17">
                  <c:v>801145.79401499999</c:v>
                </c:pt>
                <c:pt idx="18">
                  <c:v>931206.82333499996</c:v>
                </c:pt>
                <c:pt idx="19">
                  <c:v>1081257.91704</c:v>
                </c:pt>
                <c:pt idx="20">
                  <c:v>716508.02888999996</c:v>
                </c:pt>
                <c:pt idx="21">
                  <c:v>902268.48357000004</c:v>
                </c:pt>
                <c:pt idx="22">
                  <c:v>1052152.0961849999</c:v>
                </c:pt>
                <c:pt idx="23">
                  <c:v>728913.59248500003</c:v>
                </c:pt>
                <c:pt idx="24">
                  <c:v>1000185.106545</c:v>
                </c:pt>
                <c:pt idx="25">
                  <c:v>973782.90899999999</c:v>
                </c:pt>
                <c:pt idx="26">
                  <c:v>1093603.6659600001</c:v>
                </c:pt>
                <c:pt idx="27">
                  <c:v>1435552.2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2-C04C-A14F-1DFE34565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5919"/>
        <c:axId val="328779519"/>
      </c:scatterChart>
      <c:scatterChart>
        <c:scatterStyle val="smoothMarker"/>
        <c:varyColors val="0"/>
        <c:ser>
          <c:idx val="1"/>
          <c:order val="1"/>
          <c:tx>
            <c:strRef>
              <c:f>'House price'!$D$3</c:f>
              <c:strCache>
                <c:ptCount val="1"/>
                <c:pt idx="0">
                  <c:v>Sales_price_predicted ($)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'House price'!$B$4:$B$31</c:f>
              <c:numCache>
                <c:formatCode>General</c:formatCode>
                <c:ptCount val="28"/>
                <c:pt idx="0">
                  <c:v>936.64775286534541</c:v>
                </c:pt>
                <c:pt idx="1">
                  <c:v>1407.787203705429</c:v>
                </c:pt>
                <c:pt idx="2">
                  <c:v>1102.7666429025862</c:v>
                </c:pt>
                <c:pt idx="3">
                  <c:v>1156.2625566433924</c:v>
                </c:pt>
                <c:pt idx="4">
                  <c:v>1052.0863035691907</c:v>
                </c:pt>
                <c:pt idx="5">
                  <c:v>927.26250484064269</c:v>
                </c:pt>
                <c:pt idx="6">
                  <c:v>1163.7707550631546</c:v>
                </c:pt>
                <c:pt idx="7">
                  <c:v>1408.7257285078995</c:v>
                </c:pt>
                <c:pt idx="8">
                  <c:v>3209.7548244483783</c:v>
                </c:pt>
                <c:pt idx="9">
                  <c:v>3003.279367904915</c:v>
                </c:pt>
                <c:pt idx="10">
                  <c:v>1149.6928830261004</c:v>
                </c:pt>
                <c:pt idx="11">
                  <c:v>1456.5904934338841</c:v>
                </c:pt>
                <c:pt idx="12">
                  <c:v>915.06168240852878</c:v>
                </c:pt>
                <c:pt idx="13">
                  <c:v>1052.0863035691907</c:v>
                </c:pt>
                <c:pt idx="14">
                  <c:v>957.29529851969176</c:v>
                </c:pt>
                <c:pt idx="15">
                  <c:v>1408.7257285078995</c:v>
                </c:pt>
                <c:pt idx="16">
                  <c:v>1561.7052713105556</c:v>
                </c:pt>
                <c:pt idx="17">
                  <c:v>1396.5249060757856</c:v>
                </c:pt>
                <c:pt idx="18">
                  <c:v>1291.4101281991136</c:v>
                </c:pt>
                <c:pt idx="19">
                  <c:v>1407.787203705429</c:v>
                </c:pt>
                <c:pt idx="20">
                  <c:v>1178.7871519026792</c:v>
                </c:pt>
                <c:pt idx="21">
                  <c:v>1586.1069161747835</c:v>
                </c:pt>
                <c:pt idx="22">
                  <c:v>1708.1151404959205</c:v>
                </c:pt>
                <c:pt idx="23">
                  <c:v>1550.4429736809122</c:v>
                </c:pt>
                <c:pt idx="24">
                  <c:v>1667.7585739896983</c:v>
                </c:pt>
                <c:pt idx="25">
                  <c:v>1411.5413029153103</c:v>
                </c:pt>
                <c:pt idx="26">
                  <c:v>1718.4389133230936</c:v>
                </c:pt>
                <c:pt idx="27">
                  <c:v>1877.049604940572</c:v>
                </c:pt>
              </c:numCache>
            </c:numRef>
          </c:xVal>
          <c:yVal>
            <c:numRef>
              <c:f>'House price'!$D$4:$D$31</c:f>
              <c:numCache>
                <c:formatCode>_(* #,##0_);_(* \(#,##0\);_(* "-"??_);_(@_)</c:formatCode>
                <c:ptCount val="28"/>
                <c:pt idx="0">
                  <c:v>551700.77791582013</c:v>
                </c:pt>
                <c:pt idx="1">
                  <c:v>837010.13900054072</c:v>
                </c:pt>
                <c:pt idx="2">
                  <c:v>652297.90323852061</c:v>
                </c:pt>
                <c:pt idx="3">
                  <c:v>684693.58766447485</c:v>
                </c:pt>
                <c:pt idx="4">
                  <c:v>621607.25483498489</c:v>
                </c:pt>
                <c:pt idx="5">
                  <c:v>546017.32450775814</c:v>
                </c:pt>
                <c:pt idx="6">
                  <c:v>689240.35039092449</c:v>
                </c:pt>
                <c:pt idx="7">
                  <c:v>837578.48434134712</c:v>
                </c:pt>
                <c:pt idx="8">
                  <c:v>1928233.193348476</c:v>
                </c:pt>
                <c:pt idx="9">
                  <c:v>1803197.2183711082</c:v>
                </c:pt>
                <c:pt idx="10">
                  <c:v>680715.17027883127</c:v>
                </c:pt>
                <c:pt idx="11">
                  <c:v>866564.09672246419</c:v>
                </c:pt>
                <c:pt idx="12">
                  <c:v>538628.83507727715</c:v>
                </c:pt>
                <c:pt idx="13">
                  <c:v>621607.25483498489</c:v>
                </c:pt>
                <c:pt idx="14">
                  <c:v>564204.37541355693</c:v>
                </c:pt>
                <c:pt idx="15">
                  <c:v>837578.48434134712</c:v>
                </c:pt>
                <c:pt idx="16">
                  <c:v>930218.77489276009</c:v>
                </c:pt>
                <c:pt idx="17">
                  <c:v>830189.99491086614</c:v>
                </c:pt>
                <c:pt idx="18">
                  <c:v>766535.31674057001</c:v>
                </c:pt>
                <c:pt idx="19">
                  <c:v>837010.13900054072</c:v>
                </c:pt>
                <c:pt idx="20">
                  <c:v>698333.875843824</c:v>
                </c:pt>
                <c:pt idx="21">
                  <c:v>944995.75375372195</c:v>
                </c:pt>
                <c:pt idx="22">
                  <c:v>1018880.6480585299</c:v>
                </c:pt>
                <c:pt idx="23">
                  <c:v>923398.63080308551</c:v>
                </c:pt>
                <c:pt idx="24">
                  <c:v>994441.79840386275</c:v>
                </c:pt>
                <c:pt idx="25">
                  <c:v>839283.52036376577</c:v>
                </c:pt>
                <c:pt idx="26">
                  <c:v>1025132.4468073983</c:v>
                </c:pt>
                <c:pt idx="27">
                  <c:v>1121182.8094036488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42-C04C-A14F-1DFE34565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85919"/>
        <c:axId val="328779519"/>
      </c:scatterChart>
      <c:valAx>
        <c:axId val="16878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Living space (Sq</a:t>
                </a:r>
                <a:r>
                  <a:rPr lang="en-US" baseline="0"/>
                  <a:t> ft)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328779519"/>
        <c:crosses val="autoZero"/>
        <c:crossBetween val="midCat"/>
      </c:valAx>
      <c:valAx>
        <c:axId val="3287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 price</a:t>
                </a:r>
                <a:r>
                  <a:rPr lang="en-US" baseline="0"/>
                  <a:t> ($) - Actual/Predicted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R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878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</xdr:colOff>
      <xdr:row>2</xdr:row>
      <xdr:rowOff>12700</xdr:rowOff>
    </xdr:from>
    <xdr:to>
      <xdr:col>18</xdr:col>
      <xdr:colOff>12700</xdr:colOff>
      <xdr:row>20</xdr:row>
      <xdr:rowOff>56444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27E4C4-8976-0DDD-19F4-79F3CB907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44450</xdr:colOff>
      <xdr:row>20</xdr:row>
      <xdr:rowOff>42333</xdr:rowOff>
    </xdr:from>
    <xdr:to>
      <xdr:col>20</xdr:col>
      <xdr:colOff>30480</xdr:colOff>
      <xdr:row>43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642D66-148F-2BE1-5472-014C7C5FC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69" zoomScaleNormal="100" workbookViewId="0">
      <selection activeCell="D5" sqref="D5"/>
    </sheetView>
  </sheetViews>
  <sheetFormatPr baseColWidth="10" defaultColWidth="8.83203125" defaultRowHeight="15" x14ac:dyDescent="0.2"/>
  <cols>
    <col min="2" max="2" width="14.1640625" customWidth="1"/>
    <col min="3" max="3" width="13.1640625" bestFit="1" customWidth="1"/>
    <col min="4" max="5" width="10.33203125" customWidth="1"/>
    <col min="6" max="6" width="22.5" customWidth="1"/>
    <col min="8" max="8" width="23.5" customWidth="1"/>
    <col min="10" max="10" width="13.33203125" customWidth="1"/>
    <col min="14" max="14" width="10.1640625" bestFit="1" customWidth="1"/>
  </cols>
  <sheetData>
    <row r="1" spans="1:10" ht="32" x14ac:dyDescent="0.2">
      <c r="B1" s="2" t="s">
        <v>6</v>
      </c>
      <c r="C1" s="1"/>
      <c r="D1" s="1"/>
    </row>
    <row r="2" spans="1:10" ht="16" x14ac:dyDescent="0.2">
      <c r="B2" s="4" t="s">
        <v>1</v>
      </c>
      <c r="C2" s="3" t="s">
        <v>0</v>
      </c>
      <c r="D2" s="4" t="s">
        <v>2</v>
      </c>
    </row>
    <row r="3" spans="1:10" ht="16" x14ac:dyDescent="0.2">
      <c r="A3" s="8" t="s">
        <v>3</v>
      </c>
      <c r="B3" s="5" t="s">
        <v>5</v>
      </c>
      <c r="C3" s="5" t="s">
        <v>4</v>
      </c>
      <c r="D3" s="3" t="s">
        <v>42</v>
      </c>
      <c r="E3" s="6"/>
      <c r="G3" s="9" t="s">
        <v>8</v>
      </c>
      <c r="H3" s="9" t="s">
        <v>9</v>
      </c>
      <c r="I3" s="9" t="s">
        <v>10</v>
      </c>
      <c r="J3" s="9" t="s">
        <v>11</v>
      </c>
    </row>
    <row r="4" spans="1:10" x14ac:dyDescent="0.2">
      <c r="A4">
        <v>1</v>
      </c>
      <c r="B4">
        <v>936.64775286534541</v>
      </c>
      <c r="C4" s="7">
        <v>588289.29156000004</v>
      </c>
      <c r="D4" s="6">
        <f>$H$35+$H$34*B4</f>
        <v>551700.77791582013</v>
      </c>
      <c r="G4">
        <f>B4-$B$33</f>
        <v>-515.61882272858634</v>
      </c>
      <c r="H4" s="10">
        <f>C4-$C$33</f>
        <v>-275656.35698517831</v>
      </c>
      <c r="I4">
        <f>(G4)^2</f>
        <v>265862.77035201335</v>
      </c>
      <c r="J4">
        <f>G4*H4</f>
        <v>142133606.26634857</v>
      </c>
    </row>
    <row r="5" spans="1:10" x14ac:dyDescent="0.2">
      <c r="A5">
        <v>2</v>
      </c>
      <c r="B5">
        <v>1407.787203705429</v>
      </c>
      <c r="C5" s="7">
        <v>600635.04048000008</v>
      </c>
      <c r="D5" s="6">
        <f>$H$35+$H$34*B5</f>
        <v>837010.13900054072</v>
      </c>
      <c r="G5">
        <f>B5-$B$33</f>
        <v>-44.479371888502783</v>
      </c>
      <c r="H5" s="10">
        <f>C5-$C$33</f>
        <v>-263310.60806517827</v>
      </c>
      <c r="I5">
        <f t="shared" ref="I5:I31" si="0">(G5)^2</f>
        <v>1978.4145235957317</v>
      </c>
      <c r="J5">
        <f t="shared" ref="J5:J31" si="1">G5*H5</f>
        <v>11711890.458318865</v>
      </c>
    </row>
    <row r="6" spans="1:10" x14ac:dyDescent="0.2">
      <c r="A6">
        <v>3</v>
      </c>
      <c r="B6">
        <v>1102.7666429025862</v>
      </c>
      <c r="C6" s="7">
        <v>543464.17411499994</v>
      </c>
      <c r="D6" s="6">
        <f>$H$35+$H$34*B6</f>
        <v>652297.90323852061</v>
      </c>
      <c r="G6">
        <f>B6-$B$33</f>
        <v>-349.49993269134552</v>
      </c>
      <c r="H6" s="10">
        <f>C6-$C$33</f>
        <v>-320481.47443017841</v>
      </c>
      <c r="I6">
        <f t="shared" si="0"/>
        <v>122150.20295125505</v>
      </c>
      <c r="J6">
        <f t="shared" si="1"/>
        <v>112008253.74217053</v>
      </c>
    </row>
    <row r="7" spans="1:10" x14ac:dyDescent="0.2">
      <c r="A7">
        <v>4</v>
      </c>
      <c r="B7">
        <v>1156.2625566433924</v>
      </c>
      <c r="C7" s="7">
        <v>545186.83675500005</v>
      </c>
      <c r="D7" s="6">
        <f>$H$35+$H$34*B7</f>
        <v>684693.58766447485</v>
      </c>
      <c r="G7">
        <f>B7-$B$33</f>
        <v>-296.00401895053938</v>
      </c>
      <c r="H7" s="10">
        <f>C7-$C$33</f>
        <v>-318758.8117901783</v>
      </c>
      <c r="I7">
        <f t="shared" si="0"/>
        <v>87618.379234871274</v>
      </c>
      <c r="J7">
        <f t="shared" si="1"/>
        <v>94353889.365791351</v>
      </c>
    </row>
    <row r="8" spans="1:10" x14ac:dyDescent="0.2">
      <c r="A8">
        <v>5</v>
      </c>
      <c r="B8">
        <v>1052.0863035691907</v>
      </c>
      <c r="C8" s="7">
        <v>605288.62219500006</v>
      </c>
      <c r="D8" s="6">
        <f>$H$35+$H$34*B8</f>
        <v>621607.25483498489</v>
      </c>
      <c r="G8">
        <f>B8-$B$33</f>
        <v>-400.18027202474104</v>
      </c>
      <c r="H8" s="10">
        <f>C8-$C$33</f>
        <v>-258657.02635017829</v>
      </c>
      <c r="I8">
        <f t="shared" si="0"/>
        <v>160144.25011779575</v>
      </c>
      <c r="J8">
        <f t="shared" si="1"/>
        <v>103509439.16592497</v>
      </c>
    </row>
    <row r="9" spans="1:10" x14ac:dyDescent="0.2">
      <c r="A9">
        <v>6</v>
      </c>
      <c r="B9">
        <v>927.26250484064269</v>
      </c>
      <c r="C9" s="7">
        <v>465477.80085</v>
      </c>
      <c r="D9" s="6">
        <f>$H$35+$H$34*B9</f>
        <v>546017.32450775814</v>
      </c>
      <c r="G9">
        <f>B9-$B$33</f>
        <v>-525.00407075328906</v>
      </c>
      <c r="H9" s="10">
        <f>C9-$C$33</f>
        <v>-398467.84769517835</v>
      </c>
      <c r="I9">
        <f t="shared" si="0"/>
        <v>275629.27430752455</v>
      </c>
      <c r="J9">
        <f t="shared" si="1"/>
        <v>209197242.10427022</v>
      </c>
    </row>
    <row r="10" spans="1:10" x14ac:dyDescent="0.2">
      <c r="A10">
        <v>7</v>
      </c>
      <c r="B10">
        <v>1163.7707550631546</v>
      </c>
      <c r="C10" s="7">
        <v>705573.90630000003</v>
      </c>
      <c r="D10" s="6">
        <f>$H$35+$H$34*B10</f>
        <v>689240.35039092449</v>
      </c>
      <c r="G10">
        <f>B10-$B$33</f>
        <v>-288.49582053077711</v>
      </c>
      <c r="H10" s="10">
        <f>C10-$C$33</f>
        <v>-158371.74224517832</v>
      </c>
      <c r="I10">
        <f t="shared" si="0"/>
        <v>83229.838463726352</v>
      </c>
      <c r="J10">
        <f t="shared" si="1"/>
        <v>45689585.727911457</v>
      </c>
    </row>
    <row r="11" spans="1:10" x14ac:dyDescent="0.2">
      <c r="A11">
        <v>8</v>
      </c>
      <c r="B11">
        <v>1408.7257285078995</v>
      </c>
      <c r="C11" s="7">
        <v>670390.91446499992</v>
      </c>
      <c r="D11" s="6">
        <f>$H$35+$H$34*B11</f>
        <v>837578.48434134712</v>
      </c>
      <c r="G11">
        <f>B11-$B$33</f>
        <v>-43.540847086032272</v>
      </c>
      <c r="H11" s="10">
        <f>C11-$C$33</f>
        <v>-193554.73408017843</v>
      </c>
      <c r="I11">
        <f t="shared" si="0"/>
        <v>1895.8053649692449</v>
      </c>
      <c r="J11">
        <f t="shared" si="1"/>
        <v>8427537.0793626886</v>
      </c>
    </row>
    <row r="12" spans="1:10" x14ac:dyDescent="0.2">
      <c r="A12">
        <v>9</v>
      </c>
      <c r="B12">
        <v>3209.7548244483783</v>
      </c>
      <c r="C12" s="7">
        <v>1964337.8528700001</v>
      </c>
      <c r="D12" s="6">
        <f>$H$35+$H$34*B12</f>
        <v>1928233.193348476</v>
      </c>
      <c r="G12">
        <f>B12-$B$33</f>
        <v>1757.4882488544465</v>
      </c>
      <c r="H12" s="10">
        <f>C12-$C$33</f>
        <v>1100392.2043248217</v>
      </c>
      <c r="I12">
        <f t="shared" si="0"/>
        <v>3088764.9448614689</v>
      </c>
      <c r="J12">
        <f t="shared" si="1"/>
        <v>1933926368.2319152</v>
      </c>
    </row>
    <row r="13" spans="1:10" x14ac:dyDescent="0.2">
      <c r="A13">
        <v>10</v>
      </c>
      <c r="B13">
        <v>3003.279367904915</v>
      </c>
      <c r="C13" s="7">
        <v>1729816.4751299999</v>
      </c>
      <c r="D13" s="6">
        <f>$H$35+$H$34*B13</f>
        <v>1803197.2183711082</v>
      </c>
      <c r="G13">
        <f>B13-$B$33</f>
        <v>1551.0127923109833</v>
      </c>
      <c r="H13" s="10">
        <f>C13-$C$33</f>
        <v>865870.82658482157</v>
      </c>
      <c r="I13">
        <f t="shared" si="0"/>
        <v>2405640.6819123132</v>
      </c>
      <c r="J13">
        <f t="shared" si="1"/>
        <v>1342976728.5219433</v>
      </c>
    </row>
    <row r="14" spans="1:10" x14ac:dyDescent="0.2">
      <c r="A14">
        <v>11</v>
      </c>
      <c r="B14">
        <v>1149.6928830261004</v>
      </c>
      <c r="C14" s="7">
        <v>697223.77766999998</v>
      </c>
      <c r="D14" s="6">
        <f>$H$35+$H$34*B14</f>
        <v>680715.17027883127</v>
      </c>
      <c r="G14">
        <f>B14-$B$33</f>
        <v>-302.57369256783136</v>
      </c>
      <c r="H14" s="10">
        <f>C14-$C$33</f>
        <v>-166721.87087517837</v>
      </c>
      <c r="I14">
        <f t="shared" si="0"/>
        <v>91550.839434132518</v>
      </c>
      <c r="J14">
        <f t="shared" si="1"/>
        <v>50445652.1025199</v>
      </c>
    </row>
    <row r="15" spans="1:10" x14ac:dyDescent="0.2">
      <c r="A15">
        <v>12</v>
      </c>
      <c r="B15">
        <v>1456.5904934338841</v>
      </c>
      <c r="C15" s="7">
        <v>634071.44380500005</v>
      </c>
      <c r="D15" s="6">
        <f>$H$35+$H$34*B15</f>
        <v>866564.09672246419</v>
      </c>
      <c r="G15">
        <f>B15-$B$33</f>
        <v>4.3239178399524008</v>
      </c>
      <c r="H15" s="10">
        <f>C15-$C$33</f>
        <v>-229874.20474017831</v>
      </c>
      <c r="I15">
        <f t="shared" si="0"/>
        <v>18.696265486658636</v>
      </c>
      <c r="J15">
        <f t="shared" si="1"/>
        <v>-993957.17482092767</v>
      </c>
    </row>
    <row r="16" spans="1:10" x14ac:dyDescent="0.2">
      <c r="A16">
        <v>13</v>
      </c>
      <c r="B16">
        <v>915.06168240852878</v>
      </c>
      <c r="C16" s="7">
        <v>750219.57972000004</v>
      </c>
      <c r="D16" s="6">
        <f>$H$35+$H$34*B16</f>
        <v>538628.83507727715</v>
      </c>
      <c r="G16">
        <f>B16-$B$33</f>
        <v>-537.20489318540297</v>
      </c>
      <c r="H16" s="10">
        <f>C16-$C$33</f>
        <v>-113726.06882517831</v>
      </c>
      <c r="I16">
        <f t="shared" si="0"/>
        <v>288589.09726234019</v>
      </c>
      <c r="J16">
        <f t="shared" si="1"/>
        <v>61094200.655625701</v>
      </c>
    </row>
    <row r="17" spans="1:10" x14ac:dyDescent="0.2">
      <c r="A17">
        <v>14</v>
      </c>
      <c r="B17">
        <v>1052.0863035691907</v>
      </c>
      <c r="C17" s="7">
        <v>712895.22252000007</v>
      </c>
      <c r="D17" s="6">
        <f>$H$35+$H$34*B17</f>
        <v>621607.25483498489</v>
      </c>
      <c r="G17">
        <f>B17-$B$33</f>
        <v>-400.18027202474104</v>
      </c>
      <c r="H17" s="10">
        <f>C17-$C$33</f>
        <v>-151050.42602517828</v>
      </c>
      <c r="I17">
        <f t="shared" si="0"/>
        <v>160144.25011779575</v>
      </c>
      <c r="J17">
        <f t="shared" si="1"/>
        <v>60447400.576208867</v>
      </c>
    </row>
    <row r="18" spans="1:10" x14ac:dyDescent="0.2">
      <c r="A18">
        <v>15</v>
      </c>
      <c r="B18">
        <v>957.29529851969176</v>
      </c>
      <c r="C18" s="7">
        <v>604128.21750000003</v>
      </c>
      <c r="D18" s="6">
        <f>$H$35+$H$34*B18</f>
        <v>564204.37541355693</v>
      </c>
      <c r="G18">
        <f>B18-$B$33</f>
        <v>-494.97127707423999</v>
      </c>
      <c r="H18" s="10">
        <f>C18-$C$33</f>
        <v>-259817.43104517832</v>
      </c>
      <c r="I18">
        <f t="shared" si="0"/>
        <v>244996.56512850407</v>
      </c>
      <c r="J18">
        <f t="shared" si="1"/>
        <v>128602165.6505802</v>
      </c>
    </row>
    <row r="19" spans="1:10" x14ac:dyDescent="0.2">
      <c r="A19">
        <v>16</v>
      </c>
      <c r="B19">
        <v>1408.7257285078995</v>
      </c>
      <c r="C19" s="7">
        <v>670390.91446499992</v>
      </c>
      <c r="D19" s="6">
        <f>$H$35+$H$34*B19</f>
        <v>837578.48434134712</v>
      </c>
      <c r="G19">
        <f>B19-$B$33</f>
        <v>-43.540847086032272</v>
      </c>
      <c r="H19" s="10">
        <f>C19-$C$33</f>
        <v>-193554.73408017843</v>
      </c>
      <c r="I19">
        <f t="shared" si="0"/>
        <v>1895.8053649692449</v>
      </c>
      <c r="J19">
        <f t="shared" si="1"/>
        <v>8427537.0793626886</v>
      </c>
    </row>
    <row r="20" spans="1:10" x14ac:dyDescent="0.2">
      <c r="A20">
        <v>17</v>
      </c>
      <c r="B20">
        <v>1561.7052713105556</v>
      </c>
      <c r="C20" s="7">
        <v>986511.47184000001</v>
      </c>
      <c r="D20" s="6">
        <f>$H$35+$H$34*B20</f>
        <v>930218.77489276009</v>
      </c>
      <c r="G20">
        <f>B20-$B$33</f>
        <v>109.4386957166239</v>
      </c>
      <c r="H20" s="10">
        <f>C20-$C$33</f>
        <v>122565.82329482166</v>
      </c>
      <c r="I20">
        <f t="shared" si="0"/>
        <v>11976.828120155793</v>
      </c>
      <c r="J20">
        <f t="shared" si="1"/>
        <v>13413443.84081948</v>
      </c>
    </row>
    <row r="21" spans="1:10" x14ac:dyDescent="0.2">
      <c r="A21">
        <v>18</v>
      </c>
      <c r="B21">
        <v>1396.5249060757856</v>
      </c>
      <c r="C21" s="7">
        <v>801145.79401499999</v>
      </c>
      <c r="D21" s="6">
        <f>$H$35+$H$34*B21</f>
        <v>830189.99491086614</v>
      </c>
      <c r="G21">
        <f>B21-$B$33</f>
        <v>-55.741669518146182</v>
      </c>
      <c r="H21" s="10">
        <f>C21-$C$33</f>
        <v>-62799.85453017836</v>
      </c>
      <c r="I21">
        <f t="shared" si="0"/>
        <v>3107.1337206702274</v>
      </c>
      <c r="J21">
        <f t="shared" si="1"/>
        <v>3500568.7370088575</v>
      </c>
    </row>
    <row r="22" spans="1:10" x14ac:dyDescent="0.2">
      <c r="A22">
        <v>19</v>
      </c>
      <c r="B22">
        <v>1291.4101281991136</v>
      </c>
      <c r="C22" s="7">
        <v>931206.82333499996</v>
      </c>
      <c r="D22" s="6">
        <f>$H$35+$H$34*B22</f>
        <v>766535.31674057001</v>
      </c>
      <c r="G22">
        <f>B22-$B$33</f>
        <v>-160.85644739481813</v>
      </c>
      <c r="H22" s="10">
        <f>C22-$C$33</f>
        <v>67261.174789821613</v>
      </c>
      <c r="I22">
        <f t="shared" si="0"/>
        <v>25874.796668481893</v>
      </c>
      <c r="J22">
        <f t="shared" si="1"/>
        <v>-10819393.624292608</v>
      </c>
    </row>
    <row r="23" spans="1:10" x14ac:dyDescent="0.2">
      <c r="A23">
        <v>20</v>
      </c>
      <c r="B23">
        <v>1407.787203705429</v>
      </c>
      <c r="C23" s="7">
        <v>1081257.91704</v>
      </c>
      <c r="D23" s="6">
        <f>$H$35+$H$34*B23</f>
        <v>837010.13900054072</v>
      </c>
      <c r="G23">
        <f>B23-$B$33</f>
        <v>-44.479371888502783</v>
      </c>
      <c r="H23" s="10">
        <f>C23-$C$33</f>
        <v>217312.26849482162</v>
      </c>
      <c r="I23">
        <f t="shared" si="0"/>
        <v>1978.4145235957317</v>
      </c>
      <c r="J23">
        <f t="shared" si="1"/>
        <v>-9665913.2063153386</v>
      </c>
    </row>
    <row r="24" spans="1:10" x14ac:dyDescent="0.2">
      <c r="A24">
        <v>21</v>
      </c>
      <c r="B24">
        <v>1178.7871519026792</v>
      </c>
      <c r="C24" s="7">
        <v>716508.02888999996</v>
      </c>
      <c r="D24" s="6">
        <f>$H$35+$H$34*B24</f>
        <v>698333.875843824</v>
      </c>
      <c r="G24">
        <f>B24-$B$33</f>
        <v>-273.47942369125258</v>
      </c>
      <c r="H24" s="10">
        <f>C24-$C$33</f>
        <v>-147437.61965517839</v>
      </c>
      <c r="I24">
        <f t="shared" si="0"/>
        <v>74790.995182499639</v>
      </c>
      <c r="J24">
        <f t="shared" si="1"/>
        <v>40321155.253708281</v>
      </c>
    </row>
    <row r="25" spans="1:10" x14ac:dyDescent="0.2">
      <c r="A25">
        <v>22</v>
      </c>
      <c r="B25">
        <v>1586.1069161747835</v>
      </c>
      <c r="C25" s="7">
        <v>902268.48357000004</v>
      </c>
      <c r="D25" s="6">
        <f>$H$35+$H$34*B25</f>
        <v>944995.75375372195</v>
      </c>
      <c r="G25">
        <f>B25-$B$33</f>
        <v>133.84034058085172</v>
      </c>
      <c r="H25" s="10">
        <f>C25-$C$33</f>
        <v>38322.835024821688</v>
      </c>
      <c r="I25">
        <f t="shared" si="0"/>
        <v>17913.236766798382</v>
      </c>
      <c r="J25">
        <f t="shared" si="1"/>
        <v>5129141.2917459281</v>
      </c>
    </row>
    <row r="26" spans="1:10" x14ac:dyDescent="0.2">
      <c r="A26">
        <v>23</v>
      </c>
      <c r="B26">
        <v>1708.1151404959205</v>
      </c>
      <c r="C26" s="7">
        <v>1052152.0961849999</v>
      </c>
      <c r="D26" s="6">
        <f>$H$35+$H$34*B26</f>
        <v>1018880.6480585299</v>
      </c>
      <c r="G26">
        <f>B26-$B$33</f>
        <v>255.84856490198877</v>
      </c>
      <c r="H26" s="10">
        <f>C26-$C$33</f>
        <v>188206.44763982156</v>
      </c>
      <c r="I26">
        <f t="shared" si="0"/>
        <v>65458.488162407157</v>
      </c>
      <c r="J26">
        <f t="shared" si="1"/>
        <v>48152349.533949636</v>
      </c>
    </row>
    <row r="27" spans="1:10" x14ac:dyDescent="0.2">
      <c r="A27">
        <v>24</v>
      </c>
      <c r="B27">
        <v>1550.4429736809122</v>
      </c>
      <c r="C27" s="7">
        <v>728913.59248500003</v>
      </c>
      <c r="D27" s="6">
        <f>$H$35+$H$34*B27</f>
        <v>923398.63080308551</v>
      </c>
      <c r="G27">
        <f>B27-$B$33</f>
        <v>98.176398086980498</v>
      </c>
      <c r="H27" s="10">
        <f>C27-$C$33</f>
        <v>-135032.05606017832</v>
      </c>
      <c r="I27">
        <f t="shared" si="0"/>
        <v>9638.605141333268</v>
      </c>
      <c r="J27">
        <f t="shared" si="1"/>
        <v>-13256960.890267534</v>
      </c>
    </row>
    <row r="28" spans="1:10" x14ac:dyDescent="0.2">
      <c r="A28">
        <v>25</v>
      </c>
      <c r="B28">
        <v>1667.7585739896983</v>
      </c>
      <c r="C28" s="7">
        <v>1000185.106545</v>
      </c>
      <c r="D28" s="6">
        <f>$H$35+$H$34*B28</f>
        <v>994441.79840386275</v>
      </c>
      <c r="G28">
        <f>B28-$B$33</f>
        <v>215.49199839576659</v>
      </c>
      <c r="H28" s="10">
        <f>C28-$C$33</f>
        <v>136239.45799982164</v>
      </c>
      <c r="I28">
        <f t="shared" si="0"/>
        <v>46436.801372601069</v>
      </c>
      <c r="J28">
        <f t="shared" si="1"/>
        <v>29358513.064737674</v>
      </c>
    </row>
    <row r="29" spans="1:10" x14ac:dyDescent="0.2">
      <c r="A29">
        <v>26</v>
      </c>
      <c r="B29">
        <v>1411.5413029153103</v>
      </c>
      <c r="C29" s="7">
        <v>973782.90899999999</v>
      </c>
      <c r="D29" s="6">
        <f>$H$35+$H$34*B29</f>
        <v>839283.52036376577</v>
      </c>
      <c r="G29">
        <f>B29-$B$33</f>
        <v>-40.725272678621423</v>
      </c>
      <c r="H29" s="10">
        <f>C29-$C$33</f>
        <v>109837.26045482163</v>
      </c>
      <c r="I29">
        <f t="shared" si="0"/>
        <v>1658.5478347480685</v>
      </c>
      <c r="J29">
        <f t="shared" si="1"/>
        <v>-4473152.3822953729</v>
      </c>
    </row>
    <row r="30" spans="1:10" x14ac:dyDescent="0.2">
      <c r="A30">
        <v>27</v>
      </c>
      <c r="B30">
        <v>1718.4389133230936</v>
      </c>
      <c r="C30" s="7">
        <v>1093603.6659600001</v>
      </c>
      <c r="D30" s="6">
        <f>$H$35+$H$34*B30</f>
        <v>1025132.4468073983</v>
      </c>
      <c r="G30">
        <f>B30-$B$33</f>
        <v>266.17233772916188</v>
      </c>
      <c r="H30" s="10">
        <f>C30-$C$33</f>
        <v>229658.01741482178</v>
      </c>
      <c r="I30">
        <f t="shared" si="0"/>
        <v>70847.713372207014</v>
      </c>
      <c r="J30">
        <f t="shared" si="1"/>
        <v>61128611.373547681</v>
      </c>
    </row>
    <row r="31" spans="1:10" x14ac:dyDescent="0.2">
      <c r="A31">
        <v>28</v>
      </c>
      <c r="B31">
        <v>1877.049604940572</v>
      </c>
      <c r="C31" s="7">
        <v>1435552.2</v>
      </c>
      <c r="D31" s="6">
        <f>$H$35+$H$34*B31</f>
        <v>1121182.8094036488</v>
      </c>
      <c r="G31">
        <f>B31-$B$33</f>
        <v>424.78302934664021</v>
      </c>
      <c r="H31" s="10">
        <f>C31-$C$33</f>
        <v>571606.5514548216</v>
      </c>
      <c r="I31">
        <f t="shared" si="0"/>
        <v>180440.6220209086</v>
      </c>
      <c r="J31">
        <f t="shared" si="1"/>
        <v>242808762.52136528</v>
      </c>
    </row>
    <row r="32" spans="1:10" x14ac:dyDescent="0.2">
      <c r="F32" s="9"/>
      <c r="I32">
        <f>SUM(I4:I31)</f>
        <v>7790231.9985491699</v>
      </c>
      <c r="J32">
        <f>SUM(J4:J31)</f>
        <v>4717554665.0671453</v>
      </c>
    </row>
    <row r="33" spans="1:14" x14ac:dyDescent="0.2">
      <c r="A33" s="9" t="s">
        <v>12</v>
      </c>
      <c r="B33">
        <f>AVERAGE(B4:B31)</f>
        <v>1452.2665755939317</v>
      </c>
      <c r="C33" s="7">
        <f>AVERAGE(C4:C31)</f>
        <v>863945.64854517835</v>
      </c>
      <c r="G33" s="9"/>
    </row>
    <row r="34" spans="1:14" x14ac:dyDescent="0.2">
      <c r="F34" s="18" t="s">
        <v>41</v>
      </c>
      <c r="G34" s="9" t="s">
        <v>15</v>
      </c>
      <c r="H34" s="19">
        <f>J32/I32</f>
        <v>605.57306456928745</v>
      </c>
      <c r="M34" s="9"/>
      <c r="N34" s="19"/>
    </row>
    <row r="35" spans="1:14" x14ac:dyDescent="0.2">
      <c r="F35" s="18"/>
      <c r="G35" s="9" t="s">
        <v>14</v>
      </c>
      <c r="H35" s="19">
        <f>C33-H34*B33</f>
        <v>-15507.872208783636</v>
      </c>
      <c r="M35" s="9"/>
      <c r="N35" s="19"/>
    </row>
    <row r="37" spans="1:14" x14ac:dyDescent="0.2">
      <c r="F37" s="18" t="s">
        <v>40</v>
      </c>
      <c r="G37" s="9" t="s">
        <v>13</v>
      </c>
      <c r="H37" s="19">
        <f>Toolpak!B18</f>
        <v>605.57306456928757</v>
      </c>
    </row>
    <row r="38" spans="1:14" x14ac:dyDescent="0.2">
      <c r="F38" s="18"/>
      <c r="G38" s="9" t="s">
        <v>14</v>
      </c>
      <c r="H38" s="19">
        <f>Toolpak!B17</f>
        <v>-15507.872208783869</v>
      </c>
    </row>
    <row r="40" spans="1:14" x14ac:dyDescent="0.2">
      <c r="G40" s="9" t="s">
        <v>43</v>
      </c>
      <c r="H40" t="s">
        <v>44</v>
      </c>
    </row>
  </sheetData>
  <mergeCells count="2">
    <mergeCell ref="F34:F35"/>
    <mergeCell ref="F37:F3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265C-E35A-F749-8508-F4C6C072A3F1}">
  <dimension ref="A1:I21"/>
  <sheetViews>
    <sheetView workbookViewId="0">
      <selection activeCell="B17" sqref="B17"/>
    </sheetView>
  </sheetViews>
  <sheetFormatPr baseColWidth="10" defaultRowHeight="15" x14ac:dyDescent="0.2"/>
  <sheetData>
    <row r="1" spans="1:9" x14ac:dyDescent="0.2">
      <c r="A1" t="s">
        <v>17</v>
      </c>
    </row>
    <row r="2" spans="1:9" ht="16" thickBot="1" x14ac:dyDescent="0.25"/>
    <row r="3" spans="1:9" x14ac:dyDescent="0.2">
      <c r="A3" s="14" t="s">
        <v>18</v>
      </c>
      <c r="B3" s="14"/>
    </row>
    <row r="4" spans="1:9" x14ac:dyDescent="0.2">
      <c r="A4" s="11" t="s">
        <v>19</v>
      </c>
      <c r="B4" s="11">
        <v>0.91969679552572869</v>
      </c>
    </row>
    <row r="5" spans="1:9" x14ac:dyDescent="0.2">
      <c r="A5" s="11" t="s">
        <v>20</v>
      </c>
      <c r="B5" s="11">
        <v>0.84584219570029406</v>
      </c>
    </row>
    <row r="6" spans="1:9" x14ac:dyDescent="0.2">
      <c r="A6" s="11" t="s">
        <v>21</v>
      </c>
      <c r="B6" s="11">
        <v>0.83991304938107458</v>
      </c>
    </row>
    <row r="7" spans="1:9" x14ac:dyDescent="0.2">
      <c r="A7" s="11" t="s">
        <v>22</v>
      </c>
      <c r="B7" s="11">
        <v>141511.96328953991</v>
      </c>
    </row>
    <row r="8" spans="1:9" ht="16" thickBot="1" x14ac:dyDescent="0.25">
      <c r="A8" s="12" t="s">
        <v>23</v>
      </c>
      <c r="B8" s="12">
        <v>28</v>
      </c>
    </row>
    <row r="10" spans="1:9" ht="16" thickBot="1" x14ac:dyDescent="0.25">
      <c r="A10" t="s">
        <v>24</v>
      </c>
    </row>
    <row r="11" spans="1:9" x14ac:dyDescent="0.2">
      <c r="A11" s="13"/>
      <c r="B11" s="13" t="s">
        <v>27</v>
      </c>
      <c r="C11" s="13" t="s">
        <v>28</v>
      </c>
      <c r="D11" s="13" t="s">
        <v>29</v>
      </c>
      <c r="E11" s="13" t="s">
        <v>30</v>
      </c>
      <c r="F11" s="13" t="s">
        <v>31</v>
      </c>
    </row>
    <row r="12" spans="1:9" x14ac:dyDescent="0.2">
      <c r="A12" s="11" t="s">
        <v>25</v>
      </c>
      <c r="B12" s="11">
        <v>1</v>
      </c>
      <c r="C12" s="11">
        <v>2856824035797.8501</v>
      </c>
      <c r="D12" s="11">
        <v>2856824035797.8501</v>
      </c>
      <c r="E12" s="11">
        <v>142.6583440787214</v>
      </c>
      <c r="F12" s="11">
        <v>4.6494318237076593E-12</v>
      </c>
    </row>
    <row r="13" spans="1:9" x14ac:dyDescent="0.2">
      <c r="A13" s="11" t="s">
        <v>26</v>
      </c>
      <c r="B13" s="11">
        <v>26</v>
      </c>
      <c r="C13" s="11">
        <v>520666529605.56244</v>
      </c>
      <c r="D13" s="11">
        <v>20025635754.060093</v>
      </c>
      <c r="E13" s="11"/>
      <c r="F13" s="11"/>
    </row>
    <row r="14" spans="1:9" ht="16" thickBot="1" x14ac:dyDescent="0.25">
      <c r="A14" s="12" t="s">
        <v>16</v>
      </c>
      <c r="B14" s="12">
        <v>27</v>
      </c>
      <c r="C14" s="12">
        <v>3377490565403.4126</v>
      </c>
      <c r="D14" s="12"/>
      <c r="E14" s="12"/>
      <c r="F14" s="12"/>
    </row>
    <row r="15" spans="1:9" ht="16" thickBot="1" x14ac:dyDescent="0.25"/>
    <row r="16" spans="1:9" x14ac:dyDescent="0.2">
      <c r="A16" s="13"/>
      <c r="B16" s="13" t="s">
        <v>32</v>
      </c>
      <c r="C16" s="13" t="s">
        <v>22</v>
      </c>
      <c r="D16" s="13" t="s">
        <v>33</v>
      </c>
      <c r="E16" s="13" t="s">
        <v>34</v>
      </c>
      <c r="F16" s="13" t="s">
        <v>35</v>
      </c>
      <c r="G16" s="13" t="s">
        <v>36</v>
      </c>
      <c r="H16" s="13" t="s">
        <v>37</v>
      </c>
      <c r="I16" s="13" t="s">
        <v>38</v>
      </c>
    </row>
    <row r="17" spans="1:9" x14ac:dyDescent="0.2">
      <c r="A17" s="11" t="s">
        <v>14</v>
      </c>
      <c r="B17" s="15">
        <v>-15507.872208783869</v>
      </c>
      <c r="C17" s="11">
        <v>78337.828760889824</v>
      </c>
      <c r="D17" s="11">
        <v>-0.19796147600820635</v>
      </c>
      <c r="E17" s="11">
        <v>0.84461485724694318</v>
      </c>
      <c r="F17" s="11">
        <v>-176533.58538615724</v>
      </c>
      <c r="G17" s="11">
        <v>145517.8409685895</v>
      </c>
      <c r="H17" s="11">
        <v>-176533.58538615724</v>
      </c>
      <c r="I17" s="11">
        <v>145517.8409685895</v>
      </c>
    </row>
    <row r="18" spans="1:9" ht="16" thickBot="1" x14ac:dyDescent="0.25">
      <c r="A18" s="12" t="s">
        <v>39</v>
      </c>
      <c r="B18" s="16">
        <v>605.57306456928757</v>
      </c>
      <c r="C18" s="12">
        <v>50.701167564271202</v>
      </c>
      <c r="D18" s="12">
        <v>11.943966848527392</v>
      </c>
      <c r="E18" s="12">
        <v>4.6494318237076754E-12</v>
      </c>
      <c r="F18" s="12">
        <v>501.35532206736292</v>
      </c>
      <c r="G18" s="12">
        <v>709.79080707121216</v>
      </c>
      <c r="H18" s="12">
        <v>501.35532206736292</v>
      </c>
      <c r="I18" s="12">
        <v>709.79080707121216</v>
      </c>
    </row>
    <row r="20" spans="1:9" x14ac:dyDescent="0.2">
      <c r="A20" s="15" t="s">
        <v>14</v>
      </c>
    </row>
    <row r="21" spans="1:9" x14ac:dyDescent="0.2">
      <c r="A21" s="1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1BA0-424B-6D4F-991C-599CB59399B8}">
  <dimension ref="A1"/>
  <sheetViews>
    <sheetView workbookViewId="0"/>
  </sheetViews>
  <sheetFormatPr baseColWidth="10" defaultRowHeight="15" x14ac:dyDescent="0.2"/>
  <sheetData>
    <row r="1" spans="1:1" x14ac:dyDescent="0.2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 price</vt:lpstr>
      <vt:lpstr>Toolpak</vt:lpstr>
      <vt:lpstr>Honor pledge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Mendoza Garcia,John Alexander</dc:creator>
  <cp:lastModifiedBy>Cha, Josh</cp:lastModifiedBy>
  <dcterms:created xsi:type="dcterms:W3CDTF">2018-07-02T23:31:13Z</dcterms:created>
  <dcterms:modified xsi:type="dcterms:W3CDTF">2026-03-22T15:40:56Z</dcterms:modified>
</cp:coreProperties>
</file>