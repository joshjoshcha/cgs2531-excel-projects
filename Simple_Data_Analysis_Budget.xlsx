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hajeonghun/Downloads/"/>
    </mc:Choice>
  </mc:AlternateContent>
  <xr:revisionPtr revIDLastSave="0" documentId="8_{F47D9AA7-F2DE-3C47-A4E5-2F3141B2FD78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Honor Pledge" sheetId="8" r:id="rId1"/>
    <sheet name="Class Budget Data" sheetId="9" r:id="rId2"/>
    <sheet name="Monthly Expenses" sheetId="2" r:id="rId3"/>
    <sheet name="Charts" sheetId="7" r:id="rId4"/>
  </sheets>
  <definedNames>
    <definedName name="_xlnm._FilterDatabase" localSheetId="1" hidden="1">'Class Budget Data'!$A$1:$R$400</definedName>
    <definedName name="_xlchart.v1.0" hidden="1">'Monthly Expenses'!$A$8:$A$24</definedName>
    <definedName name="_xlchart.v1.1" hidden="1">'Monthly Expenses'!$B$7</definedName>
    <definedName name="_xlchart.v1.10" hidden="1">'Monthly Expenses'!$A$8:$A$24</definedName>
    <definedName name="_xlchart.v1.11" hidden="1">'Monthly Expenses'!$B$7</definedName>
    <definedName name="_xlchart.v1.12" hidden="1">'Monthly Expenses'!$B$8:$B$24</definedName>
    <definedName name="_xlchart.v1.13" hidden="1">'Monthly Expenses'!$C$7</definedName>
    <definedName name="_xlchart.v1.14" hidden="1">'Monthly Expenses'!$C$8:$C$24</definedName>
    <definedName name="_xlchart.v1.2" hidden="1">'Monthly Expenses'!$B$8:$B$24</definedName>
    <definedName name="_xlchart.v1.3" hidden="1">'Monthly Expenses'!$C$7</definedName>
    <definedName name="_xlchart.v1.4" hidden="1">'Monthly Expenses'!$C$8:$C$24</definedName>
    <definedName name="_xlchart.v1.5" hidden="1">'Monthly Expenses'!$A$8:$A$24</definedName>
    <definedName name="_xlchart.v1.6" hidden="1">'Monthly Expenses'!$B$7</definedName>
    <definedName name="_xlchart.v1.7" hidden="1">'Monthly Expenses'!$B$8:$B$24</definedName>
    <definedName name="_xlchart.v1.8" hidden="1">'Monthly Expenses'!$C$7</definedName>
    <definedName name="_xlchart.v1.9" hidden="1">'Monthly Expenses'!$C$8:$C$24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1" i="2" l="1"/>
  <c r="B8" i="2"/>
  <c r="C4" i="2"/>
  <c r="B9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10" i="2"/>
  <c r="C3" i="2" l="1"/>
  <c r="C5" i="2"/>
</calcChain>
</file>

<file path=xl/sharedStrings.xml><?xml version="1.0" encoding="utf-8"?>
<sst xmlns="http://schemas.openxmlformats.org/spreadsheetml/2006/main" count="87" uniqueCount="48">
  <si>
    <t>Groceries</t>
  </si>
  <si>
    <t>Gainesville: Monthly Expenses</t>
  </si>
  <si>
    <t>Restaurants</t>
  </si>
  <si>
    <t>Item</t>
  </si>
  <si>
    <t>In this worksheet, you will compare the expenses of the class (according to your ID assignment), with your personal expenses</t>
  </si>
  <si>
    <t>Pie chart of monthly expenses</t>
  </si>
  <si>
    <t>Difference</t>
  </si>
  <si>
    <t>Class expenses</t>
  </si>
  <si>
    <t>My Expenses</t>
  </si>
  <si>
    <t>My expenses</t>
  </si>
  <si>
    <t>My monthly expenses ordered from Largest to smallest</t>
  </si>
  <si>
    <t>Car - Gasoline</t>
  </si>
  <si>
    <t>Clothing</t>
  </si>
  <si>
    <t>Type below an expense item to find the value</t>
  </si>
  <si>
    <t>Using the VLookUp function</t>
  </si>
  <si>
    <r>
      <t>On my honor, I, Josh Cha</t>
    </r>
    <r>
      <rPr>
        <i/>
        <sz val="12"/>
        <color rgb="FF2D3B45"/>
        <rFont val="Arial"/>
        <family val="2"/>
      </rPr>
      <t>,</t>
    </r>
    <r>
      <rPr>
        <sz val="12"/>
        <color rgb="FF2D3B45"/>
        <rFont val="Arial"/>
        <family val="2"/>
      </rPr>
      <t>have neither given nor received unauthorized aid in doing this assignment.</t>
    </r>
  </si>
  <si>
    <t xml:space="preserve">Cell phone </t>
  </si>
  <si>
    <t xml:space="preserve">Cable or Internet </t>
  </si>
  <si>
    <t xml:space="preserve">Car - Monthly payment </t>
  </si>
  <si>
    <t xml:space="preserve">Groceries (e.g. Walmart) </t>
  </si>
  <si>
    <t xml:space="preserve">Restaurants / fast food/ coffee shops </t>
  </si>
  <si>
    <t>Daycare/kids</t>
  </si>
  <si>
    <t xml:space="preserve">Clothing </t>
  </si>
  <si>
    <t xml:space="preserve">School supplies </t>
  </si>
  <si>
    <t>Savings for unexpected expenses</t>
  </si>
  <si>
    <t>Savings for Retirement (e.g savings to ROTH IRA account)</t>
  </si>
  <si>
    <t xml:space="preserve">Travel </t>
  </si>
  <si>
    <t xml:space="preserve">Payments to loans </t>
  </si>
  <si>
    <t>What is your monthly income? - /month</t>
  </si>
  <si>
    <t xml:space="preserve">Home (Rent rent insurance etc) </t>
  </si>
  <si>
    <t xml:space="preserve">Other Transportation (bus etc) </t>
  </si>
  <si>
    <t xml:space="preserve">Fun stuff (parties movies hobbies etc) </t>
  </si>
  <si>
    <t xml:space="preserve">Subscriptions (Apple music Amazon music Netflix Disney + etc) </t>
  </si>
  <si>
    <t>Internet</t>
  </si>
  <si>
    <t>Travel</t>
  </si>
  <si>
    <t>Gas</t>
  </si>
  <si>
    <t>Kids</t>
  </si>
  <si>
    <t>Home</t>
  </si>
  <si>
    <t>Loans</t>
  </si>
  <si>
    <t>Phone</t>
  </si>
  <si>
    <t>Car</t>
  </si>
  <si>
    <t>Retirement</t>
  </si>
  <si>
    <t>Emergency</t>
  </si>
  <si>
    <t>School</t>
  </si>
  <si>
    <t>Other</t>
  </si>
  <si>
    <t>Fun</t>
  </si>
  <si>
    <t>Subscriptions</t>
  </si>
  <si>
    <t>3D - Column chart comparison of class expenses vs my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</si>
</sst>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-409]* #,##0.00_);_([$$-409]* \(#,##0.00\);_([$$-409]* &quot;-&quot;??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D3B45"/>
      <name val="Arial"/>
      <family val="2"/>
    </font>
    <font>
      <i/>
      <sz val="12"/>
      <color rgb="FF2D3B45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0" xfId="0" applyFont="1" applyFill="1" applyAlignment="1">
      <alignment horizontal="left"/>
    </xf>
    <xf numFmtId="165" fontId="2" fillId="2" borderId="0" xfId="0" applyNumberFormat="1" applyFont="1" applyFill="1"/>
    <xf numFmtId="165" fontId="2" fillId="0" borderId="4" xfId="0" applyNumberFormat="1" applyFont="1" applyBorder="1"/>
    <xf numFmtId="165" fontId="2" fillId="0" borderId="2" xfId="0" applyNumberFormat="1" applyFont="1" applyBorder="1"/>
    <xf numFmtId="0" fontId="2" fillId="0" borderId="3" xfId="0" applyFont="1" applyBorder="1"/>
    <xf numFmtId="165" fontId="2" fillId="0" borderId="1" xfId="0" applyNumberFormat="1" applyFont="1" applyBorder="1"/>
    <xf numFmtId="0" fontId="4" fillId="0" borderId="0" xfId="0" applyFont="1"/>
    <xf numFmtId="3" fontId="0" fillId="0" borderId="0" xfId="0" applyNumberFormat="1"/>
    <xf numFmtId="4" fontId="0" fillId="0" borderId="0" xfId="0" applyNumberFormat="1"/>
    <xf numFmtId="1" fontId="0" fillId="0" borderId="0" xfId="0" applyNumberFormat="1"/>
    <xf numFmtId="1" fontId="0" fillId="0" borderId="1" xfId="0" applyNumberFormat="1" applyBorder="1"/>
    <xf numFmtId="1" fontId="6" fillId="0" borderId="1" xfId="0" applyNumberFormat="1" applyFont="1" applyBorder="1"/>
    <xf numFmtId="1" fontId="6" fillId="0" borderId="7" xfId="0" applyNumberFormat="1" applyFont="1" applyBorder="1"/>
    <xf numFmtId="1" fontId="2" fillId="0" borderId="6" xfId="0" applyNumberFormat="1" applyFont="1" applyBorder="1"/>
    <xf numFmtId="1" fontId="2" fillId="2" borderId="5" xfId="0" applyNumberFormat="1" applyFont="1" applyFill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</a:t>
            </a:r>
            <a:r>
              <a:rPr lang="en-US" baseline="0"/>
              <a:t> expenses vs my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024015047483161"/>
          <c:y val="0.17036690849425432"/>
          <c:w val="0.81931885384966374"/>
          <c:h val="0.386222628001261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'Monthly Expenses'!$B$7</c:f>
              <c:strCache>
                <c:ptCount val="1"/>
                <c:pt idx="0">
                  <c:v> Class expenses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Expenses'!$A$8:$A$24</c:f>
              <c:strCache>
                <c:ptCount val="17"/>
                <c:pt idx="0">
                  <c:v>Home (Rent rent insurance etc) </c:v>
                </c:pt>
                <c:pt idx="1">
                  <c:v>Cell phone </c:v>
                </c:pt>
                <c:pt idx="2">
                  <c:v>Cable or Internet </c:v>
                </c:pt>
                <c:pt idx="3">
                  <c:v>Car - Monthly payment </c:v>
                </c:pt>
                <c:pt idx="4">
                  <c:v>Car - Gasoline</c:v>
                </c:pt>
                <c:pt idx="5">
                  <c:v>Other Transportation (bus etc) </c:v>
                </c:pt>
                <c:pt idx="6">
                  <c:v>Groceries (e.g. Walmart) </c:v>
                </c:pt>
                <c:pt idx="7">
                  <c:v>Restaurants / fast food/ coffee shops </c:v>
                </c:pt>
                <c:pt idx="8">
                  <c:v>Daycare/kids</c:v>
                </c:pt>
                <c:pt idx="9">
                  <c:v>Clothing </c:v>
                </c:pt>
                <c:pt idx="10">
                  <c:v>School supplies </c:v>
                </c:pt>
                <c:pt idx="11">
                  <c:v>Fun stuff (parties movies hobbies etc) </c:v>
                </c:pt>
                <c:pt idx="12">
                  <c:v>Savings for unexpected expenses</c:v>
                </c:pt>
                <c:pt idx="13">
                  <c:v>Savings for Retirement (e.g savings to ROTH IRA account)</c:v>
                </c:pt>
                <c:pt idx="14">
                  <c:v>Subscriptions (Apple music Amazon music Netflix Disney + etc) </c:v>
                </c:pt>
                <c:pt idx="15">
                  <c:v>Travel </c:v>
                </c:pt>
                <c:pt idx="16">
                  <c:v>Payments to loans </c:v>
                </c:pt>
              </c:strCache>
            </c:strRef>
          </c:cat>
          <c:val>
            <c:numRef>
              <c:f>'Monthly Expenses'!$B$8:$B$24</c:f>
              <c:numCache>
                <c:formatCode>0</c:formatCode>
                <c:ptCount val="17"/>
                <c:pt idx="0">
                  <c:v>1022.6545633802817</c:v>
                </c:pt>
                <c:pt idx="1">
                  <c:v>67.92885593220339</c:v>
                </c:pt>
                <c:pt idx="2">
                  <c:v>55.688616352201258</c:v>
                </c:pt>
                <c:pt idx="3">
                  <c:v>514.91700000000003</c:v>
                </c:pt>
                <c:pt idx="4">
                  <c:v>101.03330935251799</c:v>
                </c:pt>
                <c:pt idx="5">
                  <c:v>68.022727272727266</c:v>
                </c:pt>
                <c:pt idx="6">
                  <c:v>209.80189743589742</c:v>
                </c:pt>
                <c:pt idx="7">
                  <c:v>180.14285714285714</c:v>
                </c:pt>
                <c:pt idx="8">
                  <c:v>500</c:v>
                </c:pt>
                <c:pt idx="9">
                  <c:v>91.130699088145903</c:v>
                </c:pt>
                <c:pt idx="10">
                  <c:v>34.674831081081081</c:v>
                </c:pt>
                <c:pt idx="11">
                  <c:v>137.37142857142857</c:v>
                </c:pt>
                <c:pt idx="12">
                  <c:v>367.22916666666669</c:v>
                </c:pt>
                <c:pt idx="13">
                  <c:v>800.83170731707321</c:v>
                </c:pt>
                <c:pt idx="14">
                  <c:v>52.663437500000001</c:v>
                </c:pt>
                <c:pt idx="15">
                  <c:v>162.44385026737967</c:v>
                </c:pt>
                <c:pt idx="16">
                  <c:v>297.75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C-D045-A7B7-5BF2DAA41FA9}"/>
            </c:ext>
          </c:extLst>
        </c:ser>
        <c:ser>
          <c:idx val="1"/>
          <c:order val="1"/>
          <c:tx>
            <c:strRef>
              <c:f>'Monthly Expenses'!$C$7</c:f>
              <c:strCache>
                <c:ptCount val="1"/>
                <c:pt idx="0">
                  <c:v>My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'Monthly Expenses'!$A$8:$A$24</c:f>
              <c:strCache>
                <c:ptCount val="17"/>
                <c:pt idx="0">
                  <c:v>Home (Rent rent insurance etc) </c:v>
                </c:pt>
                <c:pt idx="1">
                  <c:v>Cell phone </c:v>
                </c:pt>
                <c:pt idx="2">
                  <c:v>Cable or Internet </c:v>
                </c:pt>
                <c:pt idx="3">
                  <c:v>Car - Monthly payment </c:v>
                </c:pt>
                <c:pt idx="4">
                  <c:v>Car - Gasoline</c:v>
                </c:pt>
                <c:pt idx="5">
                  <c:v>Other Transportation (bus etc) </c:v>
                </c:pt>
                <c:pt idx="6">
                  <c:v>Groceries (e.g. Walmart) </c:v>
                </c:pt>
                <c:pt idx="7">
                  <c:v>Restaurants / fast food/ coffee shops </c:v>
                </c:pt>
                <c:pt idx="8">
                  <c:v>Daycare/kids</c:v>
                </c:pt>
                <c:pt idx="9">
                  <c:v>Clothing </c:v>
                </c:pt>
                <c:pt idx="10">
                  <c:v>School supplies </c:v>
                </c:pt>
                <c:pt idx="11">
                  <c:v>Fun stuff (parties movies hobbies etc) </c:v>
                </c:pt>
                <c:pt idx="12">
                  <c:v>Savings for unexpected expenses</c:v>
                </c:pt>
                <c:pt idx="13">
                  <c:v>Savings for Retirement (e.g savings to ROTH IRA account)</c:v>
                </c:pt>
                <c:pt idx="14">
                  <c:v>Subscriptions (Apple music Amazon music Netflix Disney + etc) </c:v>
                </c:pt>
                <c:pt idx="15">
                  <c:v>Travel </c:v>
                </c:pt>
                <c:pt idx="16">
                  <c:v>Payments to loans </c:v>
                </c:pt>
              </c:strCache>
            </c:strRef>
          </c:cat>
          <c:val>
            <c:numRef>
              <c:f>'Monthly Expenses'!$C$8:$C$24</c:f>
              <c:numCache>
                <c:formatCode>General</c:formatCode>
                <c:ptCount val="17"/>
                <c:pt idx="0">
                  <c:v>850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100</c:v>
                </c:pt>
                <c:pt idx="7">
                  <c:v>250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15</c:v>
                </c:pt>
                <c:pt idx="15">
                  <c:v>300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C-D045-A7B7-5BF2DAA41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shape val="box"/>
        <c:axId val="1675652928"/>
        <c:axId val="1675649792"/>
        <c:axId val="0"/>
      </c:bar3DChart>
      <c:catAx>
        <c:axId val="1675652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</a:t>
                </a:r>
                <a:r>
                  <a:rPr lang="en-US" baseline="0"/>
                  <a:t> item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2843147513860863"/>
              <c:y val="0.878219794456074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75649792"/>
        <c:crosses val="autoZero"/>
        <c:auto val="1"/>
        <c:lblAlgn val="ctr"/>
        <c:lblOffset val="100"/>
        <c:noMultiLvlLbl val="0"/>
      </c:catAx>
      <c:valAx>
        <c:axId val="16756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</a:t>
                </a:r>
                <a:r>
                  <a:rPr lang="en-US" baseline="0"/>
                  <a:t> amount ($)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5787867492894747E-2"/>
              <c:y val="0.17757957625229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756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Expenses'!$F$8</c:f>
              <c:strCache>
                <c:ptCount val="1"/>
                <c:pt idx="0">
                  <c:v>My 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06-2548-8192-A3F5E9080C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06-2548-8192-A3F5E9080C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06-2548-8192-A3F5E9080C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06-2548-8192-A3F5E9080C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D06-2548-8192-A3F5E9080CF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D06-2548-8192-A3F5E9080CF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D06-2548-8192-A3F5E9080CF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D06-2548-8192-A3F5E9080CF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D06-2548-8192-A3F5E9080CF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D06-2548-8192-A3F5E9080CF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D06-2548-8192-A3F5E9080CF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D06-2548-8192-A3F5E9080CF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D06-2548-8192-A3F5E9080CF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D06-2548-8192-A3F5E9080CF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D06-2548-8192-A3F5E9080CF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D06-2548-8192-A3F5E9080CF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D06-2548-8192-A3F5E9080C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Expenses'!$E$9:$E$25</c:f>
              <c:strCache>
                <c:ptCount val="17"/>
                <c:pt idx="0">
                  <c:v>Cable or Internet </c:v>
                </c:pt>
                <c:pt idx="1">
                  <c:v>Car - Monthly payment </c:v>
                </c:pt>
                <c:pt idx="2">
                  <c:v>Other Transportation (bus etc) </c:v>
                </c:pt>
                <c:pt idx="3">
                  <c:v>Daycare/kids</c:v>
                </c:pt>
                <c:pt idx="4">
                  <c:v>School supplies </c:v>
                </c:pt>
                <c:pt idx="5">
                  <c:v>Savings for unexpected expenses</c:v>
                </c:pt>
                <c:pt idx="6">
                  <c:v>Savings for Retirement (e.g savings to ROTH IRA account)</c:v>
                </c:pt>
                <c:pt idx="7">
                  <c:v>Payments to loans </c:v>
                </c:pt>
                <c:pt idx="8">
                  <c:v>Cell phone </c:v>
                </c:pt>
                <c:pt idx="9">
                  <c:v>Subscriptions (Apple music Amazon music Netflix Disney + etc) </c:v>
                </c:pt>
                <c:pt idx="10">
                  <c:v>Clothing </c:v>
                </c:pt>
                <c:pt idx="11">
                  <c:v>Car - Gasoline</c:v>
                </c:pt>
                <c:pt idx="12">
                  <c:v>Groceries (e.g. Walmart) </c:v>
                </c:pt>
                <c:pt idx="13">
                  <c:v>Fun stuff (parties movies hobbies etc) </c:v>
                </c:pt>
                <c:pt idx="14">
                  <c:v>Restaurants / fast food/ coffee shops </c:v>
                </c:pt>
                <c:pt idx="15">
                  <c:v>Travel </c:v>
                </c:pt>
                <c:pt idx="16">
                  <c:v>Home (Rent rent insurance etc) </c:v>
                </c:pt>
              </c:strCache>
            </c:strRef>
          </c:cat>
          <c:val>
            <c:numRef>
              <c:f>'Monthly Expenses'!$F$9:$F$25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15</c:v>
                </c:pt>
                <c:pt idx="10">
                  <c:v>50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250</c:v>
                </c:pt>
                <c:pt idx="15">
                  <c:v>300</c:v>
                </c:pt>
                <c:pt idx="16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D06-2548-8192-A3F5E9080C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1637</xdr:rowOff>
    </xdr:from>
    <xdr:to>
      <xdr:col>6</xdr:col>
      <xdr:colOff>228600</xdr:colOff>
      <xdr:row>27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9717F3-27E2-7046-91E9-70715D70C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274100</xdr:colOff>
      <xdr:row>1</xdr:row>
      <xdr:rowOff>82230</xdr:rowOff>
    </xdr:from>
    <xdr:to>
      <xdr:col>18</xdr:col>
      <xdr:colOff>185855</xdr:colOff>
      <xdr:row>27</xdr:row>
      <xdr:rowOff>92926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9324C-59B2-7C47-B2E7-8549F7D74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1" x14ac:dyDescent="0.2">
      <c r="A1" s="1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0"/>
  <sheetViews>
    <sheetView topLeftCell="A206" workbookViewId="0">
      <selection activeCell="A402" sqref="A402"/>
    </sheetView>
  </sheetViews>
  <sheetFormatPr baseColWidth="10" defaultColWidth="8.83203125" defaultRowHeight="16" x14ac:dyDescent="0.2"/>
  <sheetData>
    <row r="1" spans="1:18" x14ac:dyDescent="0.2">
      <c r="A1" t="s">
        <v>29</v>
      </c>
      <c r="B1" t="s">
        <v>16</v>
      </c>
      <c r="C1" t="s">
        <v>17</v>
      </c>
      <c r="D1" t="s">
        <v>18</v>
      </c>
      <c r="E1" t="s">
        <v>11</v>
      </c>
      <c r="F1" t="s">
        <v>30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31</v>
      </c>
      <c r="M1" t="s">
        <v>24</v>
      </c>
      <c r="N1" t="s">
        <v>25</v>
      </c>
      <c r="O1" t="s">
        <v>32</v>
      </c>
      <c r="P1" t="s">
        <v>26</v>
      </c>
      <c r="Q1" t="s">
        <v>27</v>
      </c>
      <c r="R1" t="s">
        <v>28</v>
      </c>
    </row>
    <row r="2" spans="1:18" x14ac:dyDescent="0.2">
      <c r="A2">
        <v>900</v>
      </c>
      <c r="B2">
        <v>30</v>
      </c>
      <c r="C2">
        <v>50</v>
      </c>
      <c r="D2">
        <v>400</v>
      </c>
      <c r="E2">
        <v>50</v>
      </c>
      <c r="F2">
        <v>25</v>
      </c>
      <c r="G2">
        <v>120</v>
      </c>
      <c r="H2">
        <v>300</v>
      </c>
      <c r="I2">
        <v>500</v>
      </c>
      <c r="J2">
        <v>50</v>
      </c>
      <c r="K2">
        <v>20</v>
      </c>
      <c r="L2">
        <v>50</v>
      </c>
      <c r="M2">
        <v>1000</v>
      </c>
      <c r="N2">
        <v>500</v>
      </c>
      <c r="O2">
        <v>45</v>
      </c>
      <c r="P2">
        <v>200</v>
      </c>
      <c r="Q2">
        <v>500</v>
      </c>
      <c r="R2">
        <v>3000</v>
      </c>
    </row>
    <row r="3" spans="1:18" x14ac:dyDescent="0.2">
      <c r="A3">
        <v>583</v>
      </c>
      <c r="B3">
        <v>50</v>
      </c>
      <c r="C3">
        <v>40</v>
      </c>
      <c r="D3">
        <v>375</v>
      </c>
      <c r="E3">
        <v>125</v>
      </c>
      <c r="F3">
        <v>50</v>
      </c>
      <c r="G3">
        <v>200</v>
      </c>
      <c r="H3">
        <v>50</v>
      </c>
      <c r="J3">
        <v>75</v>
      </c>
      <c r="K3">
        <v>20</v>
      </c>
      <c r="L3">
        <v>200</v>
      </c>
      <c r="M3">
        <v>100</v>
      </c>
      <c r="N3">
        <v>100</v>
      </c>
      <c r="O3">
        <v>20</v>
      </c>
      <c r="P3">
        <v>40</v>
      </c>
      <c r="Q3">
        <v>200</v>
      </c>
      <c r="R3">
        <v>700</v>
      </c>
    </row>
    <row r="4" spans="1:18" x14ac:dyDescent="0.2">
      <c r="A4">
        <v>1100</v>
      </c>
      <c r="B4">
        <v>30</v>
      </c>
      <c r="C4">
        <v>50</v>
      </c>
      <c r="D4">
        <v>400</v>
      </c>
      <c r="E4">
        <v>131.76</v>
      </c>
      <c r="F4">
        <v>40</v>
      </c>
      <c r="G4">
        <v>70</v>
      </c>
      <c r="H4">
        <v>200</v>
      </c>
      <c r="J4">
        <v>50</v>
      </c>
      <c r="K4">
        <v>30</v>
      </c>
      <c r="L4">
        <v>80</v>
      </c>
      <c r="M4">
        <v>100</v>
      </c>
      <c r="N4">
        <v>100</v>
      </c>
      <c r="O4">
        <v>10</v>
      </c>
      <c r="P4">
        <v>300</v>
      </c>
      <c r="Q4">
        <v>50</v>
      </c>
      <c r="R4">
        <v>700</v>
      </c>
    </row>
    <row r="5" spans="1:18" x14ac:dyDescent="0.2">
      <c r="A5">
        <v>900</v>
      </c>
      <c r="B5">
        <v>40</v>
      </c>
      <c r="C5">
        <v>50</v>
      </c>
      <c r="D5">
        <v>750</v>
      </c>
      <c r="E5">
        <v>100</v>
      </c>
      <c r="F5">
        <v>50</v>
      </c>
      <c r="G5">
        <v>240</v>
      </c>
      <c r="H5">
        <v>250</v>
      </c>
      <c r="J5">
        <v>70</v>
      </c>
      <c r="K5">
        <v>50</v>
      </c>
      <c r="L5">
        <v>50</v>
      </c>
      <c r="M5">
        <v>150</v>
      </c>
      <c r="N5">
        <v>500</v>
      </c>
      <c r="O5">
        <v>100</v>
      </c>
      <c r="P5">
        <v>100</v>
      </c>
      <c r="Q5">
        <v>200</v>
      </c>
      <c r="R5">
        <v>60</v>
      </c>
    </row>
    <row r="6" spans="1:18" x14ac:dyDescent="0.2">
      <c r="A6">
        <v>1200</v>
      </c>
      <c r="B6">
        <v>40</v>
      </c>
      <c r="C6">
        <v>20</v>
      </c>
      <c r="D6">
        <v>2000</v>
      </c>
      <c r="E6">
        <v>100</v>
      </c>
      <c r="F6">
        <v>50</v>
      </c>
      <c r="G6">
        <v>200</v>
      </c>
      <c r="H6">
        <v>200</v>
      </c>
      <c r="J6">
        <v>10</v>
      </c>
      <c r="K6">
        <v>40</v>
      </c>
      <c r="L6">
        <v>30</v>
      </c>
      <c r="M6">
        <v>300</v>
      </c>
      <c r="N6">
        <v>300</v>
      </c>
      <c r="O6">
        <v>40</v>
      </c>
      <c r="P6">
        <v>25</v>
      </c>
      <c r="Q6">
        <v>200</v>
      </c>
      <c r="R6">
        <v>50</v>
      </c>
    </row>
    <row r="7" spans="1:18" x14ac:dyDescent="0.2">
      <c r="A7">
        <v>1200</v>
      </c>
      <c r="B7">
        <v>75</v>
      </c>
      <c r="C7">
        <v>10</v>
      </c>
      <c r="D7">
        <v>100</v>
      </c>
      <c r="E7">
        <v>10</v>
      </c>
      <c r="F7">
        <v>1200</v>
      </c>
      <c r="G7">
        <v>200</v>
      </c>
      <c r="H7">
        <v>250</v>
      </c>
      <c r="J7">
        <v>50</v>
      </c>
      <c r="K7">
        <v>15</v>
      </c>
      <c r="L7">
        <v>50</v>
      </c>
      <c r="M7">
        <v>200</v>
      </c>
      <c r="N7">
        <v>100</v>
      </c>
      <c r="O7">
        <v>15</v>
      </c>
      <c r="P7">
        <v>200</v>
      </c>
      <c r="Q7">
        <v>50</v>
      </c>
      <c r="R7" s="12">
        <v>4000</v>
      </c>
    </row>
    <row r="8" spans="1:18" x14ac:dyDescent="0.2">
      <c r="A8">
        <v>583</v>
      </c>
      <c r="B8">
        <v>150</v>
      </c>
      <c r="C8">
        <v>100</v>
      </c>
      <c r="D8">
        <v>700</v>
      </c>
      <c r="E8">
        <v>60</v>
      </c>
      <c r="F8">
        <v>60</v>
      </c>
      <c r="G8">
        <v>600</v>
      </c>
      <c r="H8">
        <v>250</v>
      </c>
      <c r="J8">
        <v>50</v>
      </c>
      <c r="K8">
        <v>20</v>
      </c>
      <c r="L8">
        <v>25</v>
      </c>
      <c r="M8">
        <v>100</v>
      </c>
      <c r="N8">
        <v>200</v>
      </c>
      <c r="O8">
        <v>6</v>
      </c>
      <c r="P8">
        <v>10</v>
      </c>
      <c r="Q8">
        <v>200</v>
      </c>
      <c r="R8" s="12">
        <v>2700</v>
      </c>
    </row>
    <row r="9" spans="1:18" x14ac:dyDescent="0.2">
      <c r="A9">
        <v>1600</v>
      </c>
      <c r="B9">
        <v>120</v>
      </c>
      <c r="C9">
        <v>20</v>
      </c>
      <c r="D9">
        <v>170</v>
      </c>
      <c r="E9">
        <v>40</v>
      </c>
      <c r="F9">
        <v>10</v>
      </c>
      <c r="G9">
        <v>150</v>
      </c>
      <c r="H9">
        <v>600</v>
      </c>
      <c r="J9">
        <v>20</v>
      </c>
      <c r="K9">
        <v>10</v>
      </c>
      <c r="L9">
        <v>50</v>
      </c>
      <c r="M9">
        <v>100</v>
      </c>
      <c r="N9">
        <v>10</v>
      </c>
      <c r="O9">
        <v>138</v>
      </c>
      <c r="P9">
        <v>100</v>
      </c>
      <c r="Q9">
        <v>60</v>
      </c>
      <c r="R9" s="12">
        <v>1600</v>
      </c>
    </row>
    <row r="10" spans="1:18" x14ac:dyDescent="0.2">
      <c r="A10">
        <v>1000</v>
      </c>
      <c r="B10">
        <v>40</v>
      </c>
      <c r="C10">
        <v>75</v>
      </c>
      <c r="D10">
        <v>2000</v>
      </c>
      <c r="E10">
        <v>45</v>
      </c>
      <c r="F10">
        <v>100</v>
      </c>
      <c r="G10">
        <v>300</v>
      </c>
      <c r="H10">
        <v>300</v>
      </c>
      <c r="J10">
        <v>200</v>
      </c>
      <c r="K10">
        <v>10</v>
      </c>
      <c r="L10">
        <v>20</v>
      </c>
      <c r="M10">
        <v>500</v>
      </c>
      <c r="N10">
        <v>100</v>
      </c>
      <c r="O10">
        <v>5</v>
      </c>
      <c r="P10">
        <v>100</v>
      </c>
      <c r="Q10">
        <v>50</v>
      </c>
      <c r="R10" s="12">
        <v>1000</v>
      </c>
    </row>
    <row r="11" spans="1:18" x14ac:dyDescent="0.2">
      <c r="A11">
        <v>900</v>
      </c>
      <c r="B11">
        <v>85</v>
      </c>
      <c r="C11">
        <v>10</v>
      </c>
      <c r="D11">
        <v>200</v>
      </c>
      <c r="E11">
        <v>10</v>
      </c>
      <c r="F11">
        <v>30</v>
      </c>
      <c r="G11">
        <v>400</v>
      </c>
      <c r="H11">
        <v>50</v>
      </c>
      <c r="J11">
        <v>50</v>
      </c>
      <c r="K11">
        <v>120</v>
      </c>
      <c r="L11">
        <v>50</v>
      </c>
      <c r="M11">
        <v>100</v>
      </c>
      <c r="N11">
        <v>100</v>
      </c>
      <c r="O11">
        <v>7</v>
      </c>
      <c r="P11">
        <v>150</v>
      </c>
      <c r="Q11">
        <v>63</v>
      </c>
      <c r="R11" s="12">
        <v>1000</v>
      </c>
    </row>
    <row r="12" spans="1:18" x14ac:dyDescent="0.2">
      <c r="A12">
        <v>2000</v>
      </c>
      <c r="B12">
        <v>120</v>
      </c>
      <c r="C12">
        <v>30</v>
      </c>
      <c r="D12">
        <v>250</v>
      </c>
      <c r="E12">
        <v>60</v>
      </c>
      <c r="F12">
        <v>5</v>
      </c>
      <c r="G12">
        <v>300</v>
      </c>
      <c r="H12">
        <v>100</v>
      </c>
      <c r="J12">
        <v>100</v>
      </c>
      <c r="K12">
        <v>10</v>
      </c>
      <c r="L12">
        <v>50</v>
      </c>
      <c r="M12">
        <v>10</v>
      </c>
      <c r="N12">
        <v>400</v>
      </c>
      <c r="O12">
        <v>15</v>
      </c>
      <c r="P12">
        <v>1000</v>
      </c>
      <c r="Q12">
        <v>1500</v>
      </c>
      <c r="R12" s="12">
        <v>1000</v>
      </c>
    </row>
    <row r="13" spans="1:18" x14ac:dyDescent="0.2">
      <c r="A13">
        <v>1100</v>
      </c>
      <c r="B13">
        <v>65</v>
      </c>
      <c r="C13">
        <v>12.5</v>
      </c>
      <c r="D13">
        <v>2000</v>
      </c>
      <c r="E13">
        <v>120</v>
      </c>
      <c r="F13">
        <v>50</v>
      </c>
      <c r="G13">
        <v>50</v>
      </c>
      <c r="H13">
        <v>250</v>
      </c>
      <c r="J13">
        <v>50</v>
      </c>
      <c r="K13">
        <v>10</v>
      </c>
      <c r="L13">
        <v>50</v>
      </c>
      <c r="M13">
        <v>100</v>
      </c>
      <c r="N13">
        <v>100</v>
      </c>
      <c r="O13">
        <v>50</v>
      </c>
      <c r="P13">
        <v>50</v>
      </c>
      <c r="Q13">
        <v>500</v>
      </c>
      <c r="R13">
        <v>80000</v>
      </c>
    </row>
    <row r="14" spans="1:18" x14ac:dyDescent="0.2">
      <c r="A14">
        <v>850</v>
      </c>
      <c r="B14">
        <v>50</v>
      </c>
      <c r="C14">
        <v>80</v>
      </c>
      <c r="D14">
        <v>400</v>
      </c>
      <c r="E14">
        <v>180</v>
      </c>
      <c r="F14">
        <v>50</v>
      </c>
      <c r="G14">
        <v>50</v>
      </c>
      <c r="H14">
        <v>100</v>
      </c>
      <c r="J14">
        <v>50</v>
      </c>
      <c r="K14">
        <v>20</v>
      </c>
      <c r="L14">
        <v>250</v>
      </c>
      <c r="M14">
        <v>400</v>
      </c>
      <c r="N14">
        <v>80</v>
      </c>
      <c r="O14">
        <v>150</v>
      </c>
      <c r="P14">
        <v>100</v>
      </c>
      <c r="R14">
        <v>80000</v>
      </c>
    </row>
    <row r="15" spans="1:18" x14ac:dyDescent="0.2">
      <c r="A15">
        <v>850</v>
      </c>
      <c r="B15">
        <v>25</v>
      </c>
      <c r="C15">
        <v>50</v>
      </c>
      <c r="D15">
        <v>60</v>
      </c>
      <c r="E15">
        <v>40</v>
      </c>
      <c r="F15">
        <v>20</v>
      </c>
      <c r="G15">
        <v>400</v>
      </c>
      <c r="H15">
        <v>75</v>
      </c>
      <c r="J15">
        <v>25</v>
      </c>
      <c r="K15">
        <v>100</v>
      </c>
      <c r="L15">
        <v>80</v>
      </c>
      <c r="M15">
        <v>20</v>
      </c>
      <c r="N15">
        <v>100</v>
      </c>
      <c r="O15">
        <v>50</v>
      </c>
      <c r="P15">
        <v>300</v>
      </c>
      <c r="R15">
        <v>70000</v>
      </c>
    </row>
    <row r="16" spans="1:18" x14ac:dyDescent="0.2">
      <c r="A16">
        <v>1300</v>
      </c>
      <c r="B16">
        <v>100</v>
      </c>
      <c r="C16">
        <v>10</v>
      </c>
      <c r="D16">
        <v>500</v>
      </c>
      <c r="E16">
        <v>100</v>
      </c>
      <c r="F16">
        <v>15</v>
      </c>
      <c r="G16">
        <v>90</v>
      </c>
      <c r="H16">
        <v>50</v>
      </c>
      <c r="J16">
        <v>30</v>
      </c>
      <c r="K16">
        <v>6.25</v>
      </c>
      <c r="L16">
        <v>50</v>
      </c>
      <c r="M16">
        <v>350</v>
      </c>
      <c r="N16">
        <v>100</v>
      </c>
      <c r="O16">
        <v>6.6</v>
      </c>
      <c r="P16">
        <v>15</v>
      </c>
      <c r="R16">
        <v>48000</v>
      </c>
    </row>
    <row r="17" spans="1:18" x14ac:dyDescent="0.2">
      <c r="A17">
        <v>537</v>
      </c>
      <c r="B17">
        <v>30</v>
      </c>
      <c r="C17">
        <v>40</v>
      </c>
      <c r="D17">
        <v>250</v>
      </c>
      <c r="E17">
        <v>100</v>
      </c>
      <c r="F17">
        <v>35</v>
      </c>
      <c r="G17">
        <v>50</v>
      </c>
      <c r="H17">
        <v>20</v>
      </c>
      <c r="J17">
        <v>150</v>
      </c>
      <c r="K17">
        <v>2</v>
      </c>
      <c r="L17">
        <v>1000</v>
      </c>
      <c r="M17">
        <v>15</v>
      </c>
      <c r="N17">
        <v>200</v>
      </c>
      <c r="O17">
        <v>10</v>
      </c>
      <c r="P17">
        <v>100</v>
      </c>
      <c r="R17">
        <v>35000</v>
      </c>
    </row>
    <row r="18" spans="1:18" x14ac:dyDescent="0.2">
      <c r="A18">
        <v>970</v>
      </c>
      <c r="B18">
        <v>50</v>
      </c>
      <c r="C18">
        <v>150</v>
      </c>
      <c r="D18">
        <v>100</v>
      </c>
      <c r="E18">
        <v>100</v>
      </c>
      <c r="F18">
        <v>80</v>
      </c>
      <c r="G18">
        <v>85</v>
      </c>
      <c r="H18">
        <v>400</v>
      </c>
      <c r="J18">
        <v>30</v>
      </c>
      <c r="K18">
        <v>10</v>
      </c>
      <c r="L18">
        <v>50</v>
      </c>
      <c r="M18">
        <v>40</v>
      </c>
      <c r="N18">
        <v>100</v>
      </c>
      <c r="O18">
        <v>150</v>
      </c>
      <c r="P18">
        <v>230</v>
      </c>
      <c r="R18">
        <v>25000</v>
      </c>
    </row>
    <row r="19" spans="1:18" x14ac:dyDescent="0.2">
      <c r="A19">
        <v>600</v>
      </c>
      <c r="B19">
        <v>55</v>
      </c>
      <c r="C19">
        <v>30</v>
      </c>
      <c r="D19">
        <v>615</v>
      </c>
      <c r="E19">
        <v>75</v>
      </c>
      <c r="F19">
        <v>100</v>
      </c>
      <c r="G19">
        <v>20</v>
      </c>
      <c r="H19">
        <v>120</v>
      </c>
      <c r="J19">
        <v>100</v>
      </c>
      <c r="K19">
        <v>40</v>
      </c>
      <c r="L19">
        <v>300</v>
      </c>
      <c r="M19">
        <v>100</v>
      </c>
      <c r="N19">
        <v>100</v>
      </c>
      <c r="O19">
        <v>150</v>
      </c>
      <c r="P19">
        <v>100</v>
      </c>
      <c r="R19">
        <v>15000</v>
      </c>
    </row>
    <row r="20" spans="1:18" x14ac:dyDescent="0.2">
      <c r="A20">
        <v>650</v>
      </c>
      <c r="B20">
        <v>30</v>
      </c>
      <c r="C20">
        <v>50</v>
      </c>
      <c r="D20">
        <v>357</v>
      </c>
      <c r="E20">
        <v>40</v>
      </c>
      <c r="F20">
        <v>100</v>
      </c>
      <c r="G20">
        <v>100</v>
      </c>
      <c r="H20">
        <v>300</v>
      </c>
      <c r="J20">
        <v>150</v>
      </c>
      <c r="K20">
        <v>30</v>
      </c>
      <c r="L20">
        <v>60</v>
      </c>
      <c r="M20">
        <v>400</v>
      </c>
      <c r="N20">
        <v>10</v>
      </c>
      <c r="O20">
        <v>15</v>
      </c>
      <c r="P20">
        <v>25</v>
      </c>
      <c r="R20">
        <v>10000</v>
      </c>
    </row>
    <row r="21" spans="1:18" x14ac:dyDescent="0.2">
      <c r="A21">
        <v>1000</v>
      </c>
      <c r="B21">
        <v>25</v>
      </c>
      <c r="C21">
        <v>100</v>
      </c>
      <c r="D21">
        <v>400</v>
      </c>
      <c r="E21">
        <v>40</v>
      </c>
      <c r="F21">
        <v>16</v>
      </c>
      <c r="G21">
        <v>100</v>
      </c>
      <c r="H21">
        <v>40</v>
      </c>
      <c r="J21">
        <v>50</v>
      </c>
      <c r="K21">
        <v>50</v>
      </c>
      <c r="L21">
        <v>400</v>
      </c>
      <c r="M21">
        <v>5</v>
      </c>
      <c r="N21">
        <v>80</v>
      </c>
      <c r="O21">
        <v>20</v>
      </c>
      <c r="P21">
        <v>40</v>
      </c>
      <c r="R21">
        <v>10000</v>
      </c>
    </row>
    <row r="22" spans="1:18" x14ac:dyDescent="0.2">
      <c r="A22">
        <v>700</v>
      </c>
      <c r="B22">
        <v>25</v>
      </c>
      <c r="C22">
        <v>20</v>
      </c>
      <c r="D22">
        <v>200</v>
      </c>
      <c r="E22">
        <v>60</v>
      </c>
      <c r="F22">
        <v>33</v>
      </c>
      <c r="G22">
        <v>250</v>
      </c>
      <c r="H22">
        <v>50</v>
      </c>
      <c r="J22">
        <v>100</v>
      </c>
      <c r="K22">
        <v>20</v>
      </c>
      <c r="L22">
        <v>150</v>
      </c>
      <c r="M22">
        <v>100</v>
      </c>
      <c r="N22">
        <v>200</v>
      </c>
      <c r="O22">
        <v>50</v>
      </c>
      <c r="P22">
        <v>42</v>
      </c>
      <c r="R22">
        <v>10000</v>
      </c>
    </row>
    <row r="23" spans="1:18" x14ac:dyDescent="0.2">
      <c r="A23">
        <v>800</v>
      </c>
      <c r="B23">
        <v>200</v>
      </c>
      <c r="C23">
        <v>50</v>
      </c>
      <c r="D23">
        <v>300</v>
      </c>
      <c r="E23">
        <v>30</v>
      </c>
      <c r="F23">
        <v>20</v>
      </c>
      <c r="G23">
        <v>200</v>
      </c>
      <c r="H23">
        <v>50</v>
      </c>
      <c r="J23">
        <v>70</v>
      </c>
      <c r="K23">
        <v>37.5</v>
      </c>
      <c r="L23">
        <v>500</v>
      </c>
      <c r="M23">
        <v>100</v>
      </c>
      <c r="N23">
        <v>200</v>
      </c>
      <c r="O23">
        <v>20</v>
      </c>
      <c r="P23">
        <v>300</v>
      </c>
      <c r="R23">
        <v>9000</v>
      </c>
    </row>
    <row r="24" spans="1:18" x14ac:dyDescent="0.2">
      <c r="A24">
        <v>1100</v>
      </c>
      <c r="B24">
        <v>80</v>
      </c>
      <c r="C24">
        <v>40</v>
      </c>
      <c r="D24">
        <v>500</v>
      </c>
      <c r="E24">
        <v>58</v>
      </c>
      <c r="F24">
        <v>100</v>
      </c>
      <c r="G24">
        <v>400</v>
      </c>
      <c r="H24">
        <v>1000</v>
      </c>
      <c r="J24">
        <v>50</v>
      </c>
      <c r="K24">
        <v>10</v>
      </c>
      <c r="L24">
        <v>35</v>
      </c>
      <c r="M24">
        <v>200</v>
      </c>
      <c r="N24">
        <v>500</v>
      </c>
      <c r="O24">
        <v>10</v>
      </c>
      <c r="P24">
        <v>30</v>
      </c>
      <c r="R24">
        <v>9000</v>
      </c>
    </row>
    <row r="25" spans="1:18" x14ac:dyDescent="0.2">
      <c r="A25" s="12">
        <v>1100</v>
      </c>
      <c r="B25">
        <v>40</v>
      </c>
      <c r="C25">
        <v>70</v>
      </c>
      <c r="D25">
        <v>200</v>
      </c>
      <c r="E25">
        <v>35</v>
      </c>
      <c r="F25">
        <v>100</v>
      </c>
      <c r="G25">
        <v>240</v>
      </c>
      <c r="H25">
        <v>150</v>
      </c>
      <c r="J25">
        <v>15</v>
      </c>
      <c r="K25">
        <v>15</v>
      </c>
      <c r="L25">
        <v>100</v>
      </c>
      <c r="M25">
        <v>500</v>
      </c>
      <c r="N25">
        <v>200</v>
      </c>
      <c r="O25">
        <v>20</v>
      </c>
      <c r="P25">
        <v>200</v>
      </c>
      <c r="R25">
        <v>7000</v>
      </c>
    </row>
    <row r="26" spans="1:18" x14ac:dyDescent="0.2">
      <c r="A26" s="12">
        <v>1100</v>
      </c>
      <c r="B26">
        <v>180</v>
      </c>
      <c r="C26">
        <v>30</v>
      </c>
      <c r="D26">
        <v>210</v>
      </c>
      <c r="E26">
        <v>90</v>
      </c>
      <c r="F26">
        <v>160</v>
      </c>
      <c r="G26">
        <v>400</v>
      </c>
      <c r="H26">
        <v>100</v>
      </c>
      <c r="J26">
        <v>100</v>
      </c>
      <c r="K26">
        <v>15</v>
      </c>
      <c r="L26">
        <v>50</v>
      </c>
      <c r="M26">
        <v>500</v>
      </c>
      <c r="N26">
        <v>150</v>
      </c>
      <c r="O26">
        <v>200</v>
      </c>
      <c r="P26">
        <v>200</v>
      </c>
      <c r="R26">
        <v>6932</v>
      </c>
    </row>
    <row r="27" spans="1:18" x14ac:dyDescent="0.2">
      <c r="A27">
        <v>888.75</v>
      </c>
      <c r="B27">
        <v>30</v>
      </c>
      <c r="C27">
        <v>50</v>
      </c>
      <c r="D27">
        <v>440</v>
      </c>
      <c r="E27">
        <v>80</v>
      </c>
      <c r="F27">
        <v>50</v>
      </c>
      <c r="G27">
        <v>200</v>
      </c>
      <c r="H27">
        <v>500</v>
      </c>
      <c r="J27">
        <v>75</v>
      </c>
      <c r="K27">
        <v>20</v>
      </c>
      <c r="L27">
        <v>100</v>
      </c>
      <c r="M27">
        <v>150</v>
      </c>
      <c r="N27">
        <v>100</v>
      </c>
      <c r="O27">
        <v>100</v>
      </c>
      <c r="P27">
        <v>75</v>
      </c>
      <c r="R27">
        <v>5685</v>
      </c>
    </row>
    <row r="28" spans="1:18" x14ac:dyDescent="0.2">
      <c r="A28">
        <v>600</v>
      </c>
      <c r="B28">
        <v>20</v>
      </c>
      <c r="C28">
        <v>35</v>
      </c>
      <c r="D28">
        <v>750</v>
      </c>
      <c r="E28">
        <v>50</v>
      </c>
      <c r="F28">
        <v>40</v>
      </c>
      <c r="G28">
        <v>300</v>
      </c>
      <c r="H28">
        <v>150</v>
      </c>
      <c r="J28">
        <v>200</v>
      </c>
      <c r="K28">
        <v>20</v>
      </c>
      <c r="L28">
        <v>300</v>
      </c>
      <c r="M28">
        <v>500</v>
      </c>
      <c r="N28">
        <v>5000</v>
      </c>
      <c r="O28">
        <v>7</v>
      </c>
      <c r="P28">
        <v>50</v>
      </c>
      <c r="R28">
        <v>5000</v>
      </c>
    </row>
    <row r="29" spans="1:18" x14ac:dyDescent="0.2">
      <c r="A29">
        <v>900</v>
      </c>
      <c r="B29">
        <v>60</v>
      </c>
      <c r="C29">
        <v>50</v>
      </c>
      <c r="D29">
        <v>400</v>
      </c>
      <c r="E29">
        <v>20</v>
      </c>
      <c r="F29">
        <v>10</v>
      </c>
      <c r="G29">
        <v>200</v>
      </c>
      <c r="H29">
        <v>50</v>
      </c>
      <c r="J29">
        <v>140</v>
      </c>
      <c r="K29">
        <v>75</v>
      </c>
      <c r="L29">
        <v>50</v>
      </c>
      <c r="M29">
        <v>200</v>
      </c>
      <c r="N29">
        <v>200</v>
      </c>
      <c r="O29">
        <v>50</v>
      </c>
      <c r="P29">
        <v>600</v>
      </c>
      <c r="R29">
        <v>5000</v>
      </c>
    </row>
    <row r="30" spans="1:18" x14ac:dyDescent="0.2">
      <c r="A30">
        <v>1400</v>
      </c>
      <c r="B30">
        <v>50</v>
      </c>
      <c r="C30">
        <v>50</v>
      </c>
      <c r="D30">
        <v>200</v>
      </c>
      <c r="E30">
        <v>500</v>
      </c>
      <c r="F30">
        <v>30</v>
      </c>
      <c r="G30">
        <v>70</v>
      </c>
      <c r="H30">
        <v>180</v>
      </c>
      <c r="J30">
        <v>50</v>
      </c>
      <c r="K30">
        <v>30</v>
      </c>
      <c r="L30">
        <v>50</v>
      </c>
      <c r="M30">
        <v>1000</v>
      </c>
      <c r="N30">
        <v>160</v>
      </c>
      <c r="O30">
        <v>300</v>
      </c>
      <c r="P30">
        <v>200</v>
      </c>
      <c r="R30">
        <v>5000</v>
      </c>
    </row>
    <row r="31" spans="1:18" x14ac:dyDescent="0.2">
      <c r="A31">
        <v>1000</v>
      </c>
      <c r="B31">
        <v>50</v>
      </c>
      <c r="C31">
        <v>60</v>
      </c>
      <c r="D31">
        <v>500</v>
      </c>
      <c r="E31">
        <v>278</v>
      </c>
      <c r="F31">
        <v>30</v>
      </c>
      <c r="G31">
        <v>250</v>
      </c>
      <c r="H31">
        <v>200</v>
      </c>
      <c r="J31">
        <v>100</v>
      </c>
      <c r="K31">
        <v>10</v>
      </c>
      <c r="L31">
        <v>50</v>
      </c>
      <c r="M31">
        <v>50</v>
      </c>
      <c r="N31">
        <v>500</v>
      </c>
      <c r="O31">
        <v>100</v>
      </c>
      <c r="P31">
        <v>100</v>
      </c>
      <c r="R31">
        <v>5000</v>
      </c>
    </row>
    <row r="32" spans="1:18" x14ac:dyDescent="0.2">
      <c r="A32">
        <v>1160</v>
      </c>
      <c r="B32">
        <v>25</v>
      </c>
      <c r="C32">
        <v>30</v>
      </c>
      <c r="D32">
        <v>100</v>
      </c>
      <c r="E32">
        <v>80</v>
      </c>
      <c r="F32">
        <v>20</v>
      </c>
      <c r="G32">
        <v>100</v>
      </c>
      <c r="H32">
        <v>50</v>
      </c>
      <c r="J32">
        <v>50</v>
      </c>
      <c r="K32">
        <v>20</v>
      </c>
      <c r="L32">
        <v>100</v>
      </c>
      <c r="M32">
        <v>25</v>
      </c>
      <c r="N32">
        <v>300</v>
      </c>
      <c r="O32">
        <v>40</v>
      </c>
      <c r="P32">
        <v>200</v>
      </c>
      <c r="R32">
        <v>5000</v>
      </c>
    </row>
    <row r="33" spans="1:18" x14ac:dyDescent="0.2">
      <c r="A33">
        <v>1200</v>
      </c>
      <c r="B33">
        <v>20</v>
      </c>
      <c r="C33">
        <v>20</v>
      </c>
      <c r="D33">
        <v>900</v>
      </c>
      <c r="E33">
        <v>150</v>
      </c>
      <c r="F33">
        <v>40</v>
      </c>
      <c r="G33">
        <v>200</v>
      </c>
      <c r="H33">
        <v>100</v>
      </c>
      <c r="J33">
        <v>50</v>
      </c>
      <c r="K33">
        <v>50</v>
      </c>
      <c r="L33">
        <v>65</v>
      </c>
      <c r="M33">
        <v>1000</v>
      </c>
      <c r="N33">
        <v>100</v>
      </c>
      <c r="O33">
        <v>40</v>
      </c>
      <c r="P33">
        <v>400</v>
      </c>
      <c r="R33">
        <v>4020</v>
      </c>
    </row>
    <row r="34" spans="1:18" x14ac:dyDescent="0.2">
      <c r="A34">
        <v>1000</v>
      </c>
      <c r="B34">
        <v>50</v>
      </c>
      <c r="C34">
        <v>10</v>
      </c>
      <c r="D34">
        <v>8000</v>
      </c>
      <c r="E34">
        <v>30</v>
      </c>
      <c r="F34">
        <v>30</v>
      </c>
      <c r="G34">
        <v>150</v>
      </c>
      <c r="H34">
        <v>150</v>
      </c>
      <c r="J34">
        <v>50</v>
      </c>
      <c r="K34">
        <v>50</v>
      </c>
      <c r="L34">
        <v>20</v>
      </c>
      <c r="M34">
        <v>200</v>
      </c>
      <c r="N34">
        <v>1000</v>
      </c>
      <c r="O34">
        <v>100</v>
      </c>
      <c r="P34">
        <v>150</v>
      </c>
      <c r="R34" s="12">
        <v>4000</v>
      </c>
    </row>
    <row r="35" spans="1:18" x14ac:dyDescent="0.2">
      <c r="A35">
        <v>1200</v>
      </c>
      <c r="B35">
        <v>20</v>
      </c>
      <c r="C35">
        <v>50</v>
      </c>
      <c r="D35">
        <v>700</v>
      </c>
      <c r="E35">
        <v>60</v>
      </c>
      <c r="F35">
        <v>40</v>
      </c>
      <c r="G35">
        <v>50</v>
      </c>
      <c r="H35">
        <v>100</v>
      </c>
      <c r="J35">
        <v>200</v>
      </c>
      <c r="K35">
        <v>25</v>
      </c>
      <c r="L35">
        <v>350</v>
      </c>
      <c r="M35">
        <v>50</v>
      </c>
      <c r="N35">
        <v>200</v>
      </c>
      <c r="O35">
        <v>10</v>
      </c>
      <c r="P35">
        <v>100</v>
      </c>
      <c r="R35">
        <v>4000</v>
      </c>
    </row>
    <row r="36" spans="1:18" x14ac:dyDescent="0.2">
      <c r="A36">
        <v>1100</v>
      </c>
      <c r="B36">
        <v>25</v>
      </c>
      <c r="C36">
        <v>70</v>
      </c>
      <c r="D36">
        <v>70</v>
      </c>
      <c r="E36">
        <v>40</v>
      </c>
      <c r="F36">
        <v>50</v>
      </c>
      <c r="G36">
        <v>400</v>
      </c>
      <c r="H36">
        <v>150</v>
      </c>
      <c r="J36">
        <v>40</v>
      </c>
      <c r="K36">
        <v>5</v>
      </c>
      <c r="L36">
        <v>40</v>
      </c>
      <c r="M36">
        <v>150</v>
      </c>
      <c r="N36">
        <v>100</v>
      </c>
      <c r="O36">
        <v>10</v>
      </c>
      <c r="P36">
        <v>30</v>
      </c>
      <c r="R36">
        <v>4000</v>
      </c>
    </row>
    <row r="37" spans="1:18" x14ac:dyDescent="0.2">
      <c r="A37">
        <v>1200</v>
      </c>
      <c r="B37">
        <v>100</v>
      </c>
      <c r="C37">
        <v>60</v>
      </c>
      <c r="D37">
        <v>1000</v>
      </c>
      <c r="E37">
        <v>40</v>
      </c>
      <c r="F37">
        <v>100</v>
      </c>
      <c r="G37">
        <v>500</v>
      </c>
      <c r="H37">
        <v>500</v>
      </c>
      <c r="J37">
        <v>200</v>
      </c>
      <c r="K37">
        <v>50</v>
      </c>
      <c r="L37">
        <v>40</v>
      </c>
      <c r="M37">
        <v>75</v>
      </c>
      <c r="N37">
        <v>100</v>
      </c>
      <c r="O37">
        <v>5</v>
      </c>
      <c r="P37">
        <v>100</v>
      </c>
      <c r="R37">
        <v>4000</v>
      </c>
    </row>
    <row r="38" spans="1:18" x14ac:dyDescent="0.2">
      <c r="A38">
        <v>850</v>
      </c>
      <c r="B38">
        <v>120</v>
      </c>
      <c r="C38">
        <v>30</v>
      </c>
      <c r="D38">
        <v>799</v>
      </c>
      <c r="E38">
        <v>25</v>
      </c>
      <c r="F38">
        <v>141</v>
      </c>
      <c r="G38">
        <v>200</v>
      </c>
      <c r="H38">
        <v>250</v>
      </c>
      <c r="J38">
        <v>50</v>
      </c>
      <c r="K38">
        <v>30</v>
      </c>
      <c r="L38">
        <v>200</v>
      </c>
      <c r="M38">
        <v>200</v>
      </c>
      <c r="N38">
        <v>100</v>
      </c>
      <c r="O38">
        <v>30</v>
      </c>
      <c r="P38">
        <v>150</v>
      </c>
      <c r="R38">
        <v>4000</v>
      </c>
    </row>
    <row r="39" spans="1:18" x14ac:dyDescent="0.2">
      <c r="A39">
        <v>750</v>
      </c>
      <c r="B39">
        <v>100</v>
      </c>
      <c r="C39">
        <v>25</v>
      </c>
      <c r="D39">
        <v>200</v>
      </c>
      <c r="E39">
        <v>100</v>
      </c>
      <c r="F39">
        <v>40</v>
      </c>
      <c r="G39">
        <v>150</v>
      </c>
      <c r="H39">
        <v>100</v>
      </c>
      <c r="J39">
        <v>50</v>
      </c>
      <c r="K39">
        <v>100</v>
      </c>
      <c r="L39">
        <v>100</v>
      </c>
      <c r="M39">
        <v>500</v>
      </c>
      <c r="N39">
        <v>583</v>
      </c>
      <c r="O39">
        <v>50</v>
      </c>
      <c r="P39">
        <v>100</v>
      </c>
      <c r="R39">
        <v>4000</v>
      </c>
    </row>
    <row r="40" spans="1:18" x14ac:dyDescent="0.2">
      <c r="A40">
        <v>500</v>
      </c>
      <c r="B40">
        <v>50</v>
      </c>
      <c r="C40">
        <v>100</v>
      </c>
      <c r="D40">
        <v>50</v>
      </c>
      <c r="E40">
        <v>180</v>
      </c>
      <c r="F40">
        <v>20</v>
      </c>
      <c r="G40">
        <v>100</v>
      </c>
      <c r="H40">
        <v>50</v>
      </c>
      <c r="J40">
        <v>100</v>
      </c>
      <c r="K40">
        <v>20</v>
      </c>
      <c r="L40">
        <v>60</v>
      </c>
      <c r="M40">
        <v>166</v>
      </c>
      <c r="N40">
        <v>200</v>
      </c>
      <c r="O40">
        <v>30</v>
      </c>
      <c r="P40">
        <v>42</v>
      </c>
      <c r="R40">
        <v>3500</v>
      </c>
    </row>
    <row r="41" spans="1:18" x14ac:dyDescent="0.2">
      <c r="A41">
        <v>1400</v>
      </c>
      <c r="B41">
        <v>30</v>
      </c>
      <c r="C41">
        <v>15</v>
      </c>
      <c r="D41">
        <v>700</v>
      </c>
      <c r="E41">
        <v>60</v>
      </c>
      <c r="F41">
        <v>30</v>
      </c>
      <c r="G41">
        <v>125</v>
      </c>
      <c r="H41">
        <v>50</v>
      </c>
      <c r="J41">
        <v>50</v>
      </c>
      <c r="K41">
        <v>10</v>
      </c>
      <c r="L41">
        <v>50</v>
      </c>
      <c r="M41">
        <v>300</v>
      </c>
      <c r="N41">
        <v>200</v>
      </c>
      <c r="O41">
        <v>80</v>
      </c>
      <c r="P41">
        <v>33</v>
      </c>
      <c r="R41">
        <v>3190</v>
      </c>
    </row>
    <row r="42" spans="1:18" x14ac:dyDescent="0.2">
      <c r="A42">
        <v>390</v>
      </c>
      <c r="B42">
        <v>10</v>
      </c>
      <c r="C42">
        <v>10</v>
      </c>
      <c r="D42">
        <v>1083</v>
      </c>
      <c r="E42">
        <v>20</v>
      </c>
      <c r="F42">
        <v>65</v>
      </c>
      <c r="G42">
        <v>200</v>
      </c>
      <c r="H42">
        <v>300</v>
      </c>
      <c r="J42">
        <v>15</v>
      </c>
      <c r="K42">
        <v>50</v>
      </c>
      <c r="L42">
        <v>250</v>
      </c>
      <c r="M42">
        <v>100</v>
      </c>
      <c r="N42">
        <v>100</v>
      </c>
      <c r="O42">
        <v>6</v>
      </c>
      <c r="P42">
        <v>20</v>
      </c>
      <c r="R42">
        <v>3100</v>
      </c>
    </row>
    <row r="43" spans="1:18" x14ac:dyDescent="0.2">
      <c r="A43">
        <v>1000</v>
      </c>
      <c r="B43">
        <v>60</v>
      </c>
      <c r="C43">
        <v>28</v>
      </c>
      <c r="D43">
        <v>240</v>
      </c>
      <c r="E43">
        <v>200</v>
      </c>
      <c r="F43">
        <v>30</v>
      </c>
      <c r="G43">
        <v>45</v>
      </c>
      <c r="H43">
        <v>30</v>
      </c>
      <c r="J43">
        <v>100</v>
      </c>
      <c r="K43">
        <v>10</v>
      </c>
      <c r="L43">
        <v>100</v>
      </c>
      <c r="M43">
        <v>100</v>
      </c>
      <c r="N43">
        <v>500</v>
      </c>
      <c r="O43">
        <v>5</v>
      </c>
      <c r="P43">
        <v>100</v>
      </c>
      <c r="R43">
        <v>3000</v>
      </c>
    </row>
    <row r="44" spans="1:18" x14ac:dyDescent="0.2">
      <c r="A44">
        <v>1200</v>
      </c>
      <c r="B44">
        <v>25</v>
      </c>
      <c r="C44">
        <v>215</v>
      </c>
      <c r="D44">
        <v>550</v>
      </c>
      <c r="E44">
        <v>200</v>
      </c>
      <c r="F44">
        <v>37.5</v>
      </c>
      <c r="G44">
        <v>300</v>
      </c>
      <c r="H44">
        <v>200</v>
      </c>
      <c r="J44">
        <v>50</v>
      </c>
      <c r="K44">
        <v>10</v>
      </c>
      <c r="L44">
        <v>100</v>
      </c>
      <c r="M44">
        <v>100</v>
      </c>
      <c r="N44">
        <v>200</v>
      </c>
      <c r="O44">
        <v>35</v>
      </c>
      <c r="P44">
        <v>300</v>
      </c>
      <c r="R44">
        <v>3000</v>
      </c>
    </row>
    <row r="45" spans="1:18" x14ac:dyDescent="0.2">
      <c r="A45">
        <v>889</v>
      </c>
      <c r="B45">
        <v>130</v>
      </c>
      <c r="C45">
        <v>15</v>
      </c>
      <c r="D45">
        <v>365</v>
      </c>
      <c r="E45">
        <v>45</v>
      </c>
      <c r="F45">
        <v>150</v>
      </c>
      <c r="G45">
        <v>300</v>
      </c>
      <c r="H45">
        <v>200</v>
      </c>
      <c r="J45">
        <v>150</v>
      </c>
      <c r="K45">
        <v>50</v>
      </c>
      <c r="L45">
        <v>150</v>
      </c>
      <c r="M45">
        <v>795</v>
      </c>
      <c r="N45">
        <v>7000</v>
      </c>
      <c r="O45">
        <v>50</v>
      </c>
      <c r="P45">
        <v>100</v>
      </c>
      <c r="R45">
        <v>3000</v>
      </c>
    </row>
    <row r="46" spans="1:18" x14ac:dyDescent="0.2">
      <c r="A46" s="12">
        <v>1300</v>
      </c>
      <c r="B46">
        <v>20</v>
      </c>
      <c r="C46">
        <v>20</v>
      </c>
      <c r="D46">
        <v>150</v>
      </c>
      <c r="E46">
        <v>110</v>
      </c>
      <c r="F46">
        <v>100</v>
      </c>
      <c r="G46">
        <v>300</v>
      </c>
      <c r="H46">
        <v>150</v>
      </c>
      <c r="J46">
        <v>30</v>
      </c>
      <c r="K46">
        <v>50</v>
      </c>
      <c r="L46">
        <v>100</v>
      </c>
      <c r="M46">
        <v>20</v>
      </c>
      <c r="N46">
        <v>75</v>
      </c>
      <c r="O46">
        <v>20</v>
      </c>
      <c r="P46">
        <v>100</v>
      </c>
      <c r="R46">
        <v>3000</v>
      </c>
    </row>
    <row r="47" spans="1:18" x14ac:dyDescent="0.2">
      <c r="A47">
        <v>1000</v>
      </c>
      <c r="B47">
        <v>70</v>
      </c>
      <c r="C47">
        <v>90</v>
      </c>
      <c r="D47">
        <v>250</v>
      </c>
      <c r="E47">
        <v>100</v>
      </c>
      <c r="F47">
        <v>100</v>
      </c>
      <c r="G47">
        <v>50</v>
      </c>
      <c r="H47">
        <v>400</v>
      </c>
      <c r="J47">
        <v>20</v>
      </c>
      <c r="K47">
        <v>100</v>
      </c>
      <c r="L47">
        <v>50</v>
      </c>
      <c r="M47">
        <v>400</v>
      </c>
      <c r="N47">
        <v>100</v>
      </c>
      <c r="O47">
        <v>20</v>
      </c>
      <c r="P47">
        <v>100</v>
      </c>
      <c r="R47">
        <v>3000</v>
      </c>
    </row>
    <row r="48" spans="1:18" x14ac:dyDescent="0.2">
      <c r="A48">
        <v>1800</v>
      </c>
      <c r="B48">
        <v>150</v>
      </c>
      <c r="C48">
        <v>100</v>
      </c>
      <c r="D48">
        <v>500</v>
      </c>
      <c r="E48">
        <v>80</v>
      </c>
      <c r="F48">
        <v>20</v>
      </c>
      <c r="G48">
        <v>256</v>
      </c>
      <c r="H48">
        <v>250</v>
      </c>
      <c r="J48">
        <v>40</v>
      </c>
      <c r="K48">
        <v>50</v>
      </c>
      <c r="L48">
        <v>100</v>
      </c>
      <c r="M48">
        <v>50</v>
      </c>
      <c r="N48">
        <v>100</v>
      </c>
      <c r="O48">
        <v>3</v>
      </c>
      <c r="P48">
        <v>400</v>
      </c>
      <c r="R48">
        <v>3000</v>
      </c>
    </row>
    <row r="49" spans="1:18" x14ac:dyDescent="0.2">
      <c r="A49">
        <v>1000</v>
      </c>
      <c r="B49">
        <v>115</v>
      </c>
      <c r="C49">
        <v>10</v>
      </c>
      <c r="D49">
        <v>500</v>
      </c>
      <c r="E49">
        <v>85</v>
      </c>
      <c r="F49">
        <v>40</v>
      </c>
      <c r="G49">
        <v>50</v>
      </c>
      <c r="H49">
        <v>50</v>
      </c>
      <c r="J49">
        <v>50</v>
      </c>
      <c r="K49">
        <v>100</v>
      </c>
      <c r="L49">
        <v>300</v>
      </c>
      <c r="M49">
        <v>100</v>
      </c>
      <c r="N49">
        <v>100</v>
      </c>
      <c r="O49">
        <v>6</v>
      </c>
      <c r="P49">
        <v>500</v>
      </c>
      <c r="R49">
        <v>3000</v>
      </c>
    </row>
    <row r="50" spans="1:18" x14ac:dyDescent="0.2">
      <c r="A50">
        <v>715</v>
      </c>
      <c r="B50">
        <v>65</v>
      </c>
      <c r="C50">
        <v>25</v>
      </c>
      <c r="D50">
        <v>500</v>
      </c>
      <c r="E50">
        <v>80</v>
      </c>
      <c r="F50">
        <v>20</v>
      </c>
      <c r="G50">
        <v>200</v>
      </c>
      <c r="H50">
        <v>200</v>
      </c>
      <c r="J50">
        <v>60</v>
      </c>
      <c r="K50">
        <v>40</v>
      </c>
      <c r="L50">
        <v>800</v>
      </c>
      <c r="M50">
        <v>100</v>
      </c>
      <c r="N50">
        <v>1000</v>
      </c>
      <c r="O50">
        <v>20</v>
      </c>
      <c r="P50">
        <v>200</v>
      </c>
      <c r="R50">
        <v>3000</v>
      </c>
    </row>
    <row r="51" spans="1:18" x14ac:dyDescent="0.2">
      <c r="A51">
        <v>1100</v>
      </c>
      <c r="B51">
        <v>55</v>
      </c>
      <c r="C51">
        <v>10</v>
      </c>
      <c r="D51">
        <v>250</v>
      </c>
      <c r="E51">
        <v>45</v>
      </c>
      <c r="F51">
        <v>75</v>
      </c>
      <c r="G51">
        <v>150</v>
      </c>
      <c r="H51">
        <v>150</v>
      </c>
      <c r="J51">
        <v>200</v>
      </c>
      <c r="K51">
        <v>5</v>
      </c>
      <c r="L51">
        <v>100</v>
      </c>
      <c r="M51">
        <v>100</v>
      </c>
      <c r="N51">
        <v>20000</v>
      </c>
      <c r="O51">
        <v>70</v>
      </c>
      <c r="P51">
        <v>200</v>
      </c>
      <c r="R51">
        <v>2800</v>
      </c>
    </row>
    <row r="52" spans="1:18" x14ac:dyDescent="0.2">
      <c r="A52">
        <v>500</v>
      </c>
      <c r="B52">
        <v>35</v>
      </c>
      <c r="C52">
        <v>60</v>
      </c>
      <c r="D52">
        <v>900</v>
      </c>
      <c r="E52">
        <v>30</v>
      </c>
      <c r="F52">
        <v>50</v>
      </c>
      <c r="G52">
        <v>150</v>
      </c>
      <c r="H52">
        <v>200</v>
      </c>
      <c r="J52">
        <v>200</v>
      </c>
      <c r="K52">
        <v>20</v>
      </c>
      <c r="L52">
        <v>50</v>
      </c>
      <c r="M52">
        <v>50</v>
      </c>
      <c r="N52">
        <v>100</v>
      </c>
      <c r="O52">
        <v>10</v>
      </c>
      <c r="P52">
        <v>20</v>
      </c>
      <c r="R52">
        <v>2700</v>
      </c>
    </row>
    <row r="53" spans="1:18" x14ac:dyDescent="0.2">
      <c r="A53">
        <v>700</v>
      </c>
      <c r="B53">
        <v>25</v>
      </c>
      <c r="C53">
        <v>100</v>
      </c>
      <c r="D53">
        <v>150</v>
      </c>
      <c r="E53">
        <v>40</v>
      </c>
      <c r="F53">
        <v>15</v>
      </c>
      <c r="G53">
        <v>150</v>
      </c>
      <c r="H53">
        <v>200</v>
      </c>
      <c r="J53">
        <v>25</v>
      </c>
      <c r="K53">
        <v>30</v>
      </c>
      <c r="L53">
        <v>50</v>
      </c>
      <c r="M53">
        <v>100</v>
      </c>
      <c r="N53">
        <v>100</v>
      </c>
      <c r="O53">
        <v>15</v>
      </c>
      <c r="P53">
        <v>20</v>
      </c>
      <c r="R53">
        <v>2500</v>
      </c>
    </row>
    <row r="54" spans="1:18" x14ac:dyDescent="0.2">
      <c r="A54">
        <v>1200</v>
      </c>
      <c r="B54">
        <v>100</v>
      </c>
      <c r="C54">
        <v>25</v>
      </c>
      <c r="D54">
        <v>1200</v>
      </c>
      <c r="E54">
        <v>100</v>
      </c>
      <c r="F54">
        <v>50</v>
      </c>
      <c r="G54">
        <v>200</v>
      </c>
      <c r="H54">
        <v>80</v>
      </c>
      <c r="J54">
        <v>15</v>
      </c>
      <c r="K54">
        <v>30</v>
      </c>
      <c r="L54">
        <v>200</v>
      </c>
      <c r="M54">
        <v>100</v>
      </c>
      <c r="N54">
        <v>100</v>
      </c>
      <c r="O54">
        <v>40</v>
      </c>
      <c r="P54">
        <v>10</v>
      </c>
      <c r="R54">
        <v>2500</v>
      </c>
    </row>
    <row r="55" spans="1:18" x14ac:dyDescent="0.2">
      <c r="A55">
        <v>50</v>
      </c>
      <c r="B55">
        <v>55</v>
      </c>
      <c r="C55">
        <v>50</v>
      </c>
      <c r="D55">
        <v>500</v>
      </c>
      <c r="E55">
        <v>200</v>
      </c>
      <c r="F55">
        <v>15</v>
      </c>
      <c r="G55">
        <v>50</v>
      </c>
      <c r="H55">
        <v>195</v>
      </c>
      <c r="J55">
        <v>400</v>
      </c>
      <c r="K55">
        <v>10</v>
      </c>
      <c r="L55">
        <v>50</v>
      </c>
      <c r="M55">
        <v>100</v>
      </c>
      <c r="N55">
        <v>100</v>
      </c>
      <c r="O55">
        <v>200</v>
      </c>
      <c r="P55">
        <v>20</v>
      </c>
      <c r="R55">
        <v>2500</v>
      </c>
    </row>
    <row r="56" spans="1:18" x14ac:dyDescent="0.2">
      <c r="A56">
        <v>900</v>
      </c>
      <c r="B56">
        <v>60</v>
      </c>
      <c r="C56">
        <v>70</v>
      </c>
      <c r="D56">
        <v>500</v>
      </c>
      <c r="E56">
        <v>150</v>
      </c>
      <c r="F56">
        <v>33</v>
      </c>
      <c r="G56">
        <v>100</v>
      </c>
      <c r="H56">
        <v>500</v>
      </c>
      <c r="J56">
        <v>25</v>
      </c>
      <c r="K56">
        <v>20</v>
      </c>
      <c r="L56">
        <v>50</v>
      </c>
      <c r="M56">
        <v>200</v>
      </c>
      <c r="N56">
        <v>50</v>
      </c>
      <c r="O56">
        <v>40</v>
      </c>
      <c r="P56">
        <v>20</v>
      </c>
      <c r="R56">
        <v>2500</v>
      </c>
    </row>
    <row r="57" spans="1:18" x14ac:dyDescent="0.2">
      <c r="A57">
        <v>550</v>
      </c>
      <c r="B57">
        <v>120</v>
      </c>
      <c r="C57">
        <v>50</v>
      </c>
      <c r="D57">
        <v>172</v>
      </c>
      <c r="E57">
        <v>100</v>
      </c>
      <c r="F57">
        <v>30</v>
      </c>
      <c r="G57">
        <v>200</v>
      </c>
      <c r="H57">
        <v>50</v>
      </c>
      <c r="J57">
        <v>400</v>
      </c>
      <c r="K57">
        <v>25</v>
      </c>
      <c r="L57">
        <v>80</v>
      </c>
      <c r="M57">
        <v>100</v>
      </c>
      <c r="N57">
        <v>250</v>
      </c>
      <c r="O57">
        <v>40</v>
      </c>
      <c r="P57">
        <v>20</v>
      </c>
      <c r="R57">
        <v>2500</v>
      </c>
    </row>
    <row r="58" spans="1:18" x14ac:dyDescent="0.2">
      <c r="A58">
        <v>800</v>
      </c>
      <c r="B58">
        <v>300</v>
      </c>
      <c r="C58">
        <v>80</v>
      </c>
      <c r="D58">
        <v>350</v>
      </c>
      <c r="E58">
        <v>60</v>
      </c>
      <c r="F58">
        <v>50</v>
      </c>
      <c r="G58">
        <v>400</v>
      </c>
      <c r="H58">
        <v>120</v>
      </c>
      <c r="J58">
        <v>150</v>
      </c>
      <c r="K58">
        <v>20</v>
      </c>
      <c r="L58">
        <v>150</v>
      </c>
      <c r="M58">
        <v>200</v>
      </c>
      <c r="N58">
        <v>50</v>
      </c>
      <c r="O58">
        <v>20</v>
      </c>
      <c r="P58">
        <v>50</v>
      </c>
      <c r="R58">
        <v>2500</v>
      </c>
    </row>
    <row r="59" spans="1:18" x14ac:dyDescent="0.2">
      <c r="A59">
        <v>910</v>
      </c>
      <c r="B59">
        <v>60</v>
      </c>
      <c r="C59">
        <v>50</v>
      </c>
      <c r="D59">
        <v>300</v>
      </c>
      <c r="E59">
        <v>150</v>
      </c>
      <c r="F59">
        <v>300</v>
      </c>
      <c r="G59">
        <v>100</v>
      </c>
      <c r="H59">
        <v>150</v>
      </c>
      <c r="J59">
        <v>100</v>
      </c>
      <c r="K59">
        <v>25</v>
      </c>
      <c r="L59">
        <v>300</v>
      </c>
      <c r="M59">
        <v>30</v>
      </c>
      <c r="N59">
        <v>50</v>
      </c>
      <c r="O59">
        <v>20</v>
      </c>
      <c r="P59">
        <v>50</v>
      </c>
      <c r="R59">
        <v>2500</v>
      </c>
    </row>
    <row r="60" spans="1:18" x14ac:dyDescent="0.2">
      <c r="A60">
        <v>1000</v>
      </c>
      <c r="B60">
        <v>120</v>
      </c>
      <c r="C60">
        <v>5</v>
      </c>
      <c r="D60">
        <v>750</v>
      </c>
      <c r="E60">
        <v>80</v>
      </c>
      <c r="F60">
        <v>30</v>
      </c>
      <c r="G60">
        <v>200</v>
      </c>
      <c r="H60">
        <v>20</v>
      </c>
      <c r="J60">
        <v>20</v>
      </c>
      <c r="K60">
        <v>20</v>
      </c>
      <c r="L60">
        <v>300</v>
      </c>
      <c r="M60">
        <v>100</v>
      </c>
      <c r="N60">
        <v>500</v>
      </c>
      <c r="O60">
        <v>80</v>
      </c>
      <c r="P60">
        <v>50</v>
      </c>
      <c r="R60">
        <v>2500</v>
      </c>
    </row>
    <row r="61" spans="1:18" x14ac:dyDescent="0.2">
      <c r="A61">
        <v>600</v>
      </c>
      <c r="B61">
        <v>60</v>
      </c>
      <c r="C61">
        <v>40</v>
      </c>
      <c r="D61">
        <v>750</v>
      </c>
      <c r="E61">
        <v>300</v>
      </c>
      <c r="F61">
        <v>25</v>
      </c>
      <c r="G61">
        <v>100</v>
      </c>
      <c r="H61">
        <v>1000</v>
      </c>
      <c r="J61">
        <v>100</v>
      </c>
      <c r="K61">
        <v>20</v>
      </c>
      <c r="L61">
        <v>50</v>
      </c>
      <c r="M61">
        <v>100</v>
      </c>
      <c r="N61">
        <v>15</v>
      </c>
      <c r="O61">
        <v>7</v>
      </c>
      <c r="P61">
        <v>50</v>
      </c>
      <c r="R61">
        <v>2200</v>
      </c>
    </row>
    <row r="62" spans="1:18" x14ac:dyDescent="0.2">
      <c r="A62">
        <v>1015</v>
      </c>
      <c r="B62">
        <v>100</v>
      </c>
      <c r="C62">
        <v>30</v>
      </c>
      <c r="D62">
        <v>200</v>
      </c>
      <c r="E62">
        <v>50</v>
      </c>
      <c r="F62">
        <v>100</v>
      </c>
      <c r="G62">
        <v>300</v>
      </c>
      <c r="H62">
        <v>200</v>
      </c>
      <c r="J62">
        <v>50</v>
      </c>
      <c r="K62">
        <v>50</v>
      </c>
      <c r="L62">
        <v>200</v>
      </c>
      <c r="M62">
        <v>500</v>
      </c>
      <c r="N62">
        <v>100</v>
      </c>
      <c r="O62">
        <v>50</v>
      </c>
      <c r="P62">
        <v>50</v>
      </c>
      <c r="R62">
        <v>2180</v>
      </c>
    </row>
    <row r="63" spans="1:18" x14ac:dyDescent="0.2">
      <c r="A63">
        <v>1400</v>
      </c>
      <c r="B63">
        <v>100</v>
      </c>
      <c r="C63">
        <v>300</v>
      </c>
      <c r="D63">
        <v>200</v>
      </c>
      <c r="E63">
        <v>120</v>
      </c>
      <c r="F63">
        <v>32</v>
      </c>
      <c r="G63">
        <v>300</v>
      </c>
      <c r="H63">
        <v>200</v>
      </c>
      <c r="J63">
        <v>100</v>
      </c>
      <c r="K63">
        <v>30</v>
      </c>
      <c r="L63">
        <v>100</v>
      </c>
      <c r="M63">
        <v>50</v>
      </c>
      <c r="N63" s="12">
        <v>10000</v>
      </c>
      <c r="O63">
        <v>75</v>
      </c>
      <c r="P63">
        <v>50</v>
      </c>
      <c r="R63" s="13">
        <v>2128.96</v>
      </c>
    </row>
    <row r="64" spans="1:18" x14ac:dyDescent="0.2">
      <c r="A64">
        <v>656</v>
      </c>
      <c r="B64">
        <v>100</v>
      </c>
      <c r="C64">
        <v>65</v>
      </c>
      <c r="D64">
        <v>400</v>
      </c>
      <c r="E64">
        <v>100</v>
      </c>
      <c r="F64">
        <v>20</v>
      </c>
      <c r="G64">
        <v>100</v>
      </c>
      <c r="H64">
        <v>150</v>
      </c>
      <c r="J64">
        <v>40</v>
      </c>
      <c r="K64">
        <v>40</v>
      </c>
      <c r="L64">
        <v>40</v>
      </c>
      <c r="M64">
        <v>20</v>
      </c>
      <c r="N64">
        <v>100</v>
      </c>
      <c r="O64">
        <v>34</v>
      </c>
      <c r="P64">
        <v>50</v>
      </c>
      <c r="R64">
        <v>2000</v>
      </c>
    </row>
    <row r="65" spans="1:18" x14ac:dyDescent="0.2">
      <c r="A65">
        <v>1470</v>
      </c>
      <c r="B65">
        <v>400</v>
      </c>
      <c r="C65">
        <v>10</v>
      </c>
      <c r="D65">
        <v>555.87</v>
      </c>
      <c r="E65">
        <v>40</v>
      </c>
      <c r="F65">
        <v>50</v>
      </c>
      <c r="G65">
        <v>100</v>
      </c>
      <c r="H65">
        <v>15</v>
      </c>
      <c r="J65">
        <v>50</v>
      </c>
      <c r="K65">
        <v>50</v>
      </c>
      <c r="L65">
        <v>40</v>
      </c>
      <c r="M65">
        <v>166</v>
      </c>
      <c r="N65">
        <v>200</v>
      </c>
      <c r="O65">
        <v>100</v>
      </c>
      <c r="P65">
        <v>50</v>
      </c>
      <c r="R65">
        <v>2000</v>
      </c>
    </row>
    <row r="66" spans="1:18" x14ac:dyDescent="0.2">
      <c r="A66">
        <v>915</v>
      </c>
      <c r="B66">
        <v>50</v>
      </c>
      <c r="C66">
        <v>50</v>
      </c>
      <c r="D66">
        <v>285</v>
      </c>
      <c r="E66">
        <v>80</v>
      </c>
      <c r="F66">
        <v>35</v>
      </c>
      <c r="G66">
        <v>20</v>
      </c>
      <c r="H66">
        <v>200</v>
      </c>
      <c r="J66">
        <v>35</v>
      </c>
      <c r="K66">
        <v>10</v>
      </c>
      <c r="L66">
        <v>100</v>
      </c>
      <c r="M66">
        <v>100</v>
      </c>
      <c r="N66">
        <v>300</v>
      </c>
      <c r="O66">
        <v>50</v>
      </c>
      <c r="P66">
        <v>50</v>
      </c>
      <c r="R66">
        <v>2000</v>
      </c>
    </row>
    <row r="67" spans="1:18" x14ac:dyDescent="0.2">
      <c r="A67">
        <v>1250</v>
      </c>
      <c r="B67">
        <v>60</v>
      </c>
      <c r="C67">
        <v>15</v>
      </c>
      <c r="D67">
        <v>580</v>
      </c>
      <c r="E67">
        <v>15</v>
      </c>
      <c r="F67">
        <v>33</v>
      </c>
      <c r="G67">
        <v>300</v>
      </c>
      <c r="H67">
        <v>60</v>
      </c>
      <c r="J67">
        <v>100</v>
      </c>
      <c r="K67">
        <v>250</v>
      </c>
      <c r="L67">
        <v>70</v>
      </c>
      <c r="M67">
        <v>500</v>
      </c>
      <c r="N67">
        <v>10</v>
      </c>
      <c r="O67">
        <v>20</v>
      </c>
      <c r="P67">
        <v>50</v>
      </c>
      <c r="R67">
        <v>2000</v>
      </c>
    </row>
    <row r="68" spans="1:18" x14ac:dyDescent="0.2">
      <c r="A68">
        <v>1800</v>
      </c>
      <c r="B68">
        <v>100</v>
      </c>
      <c r="C68">
        <v>70</v>
      </c>
      <c r="D68">
        <v>400</v>
      </c>
      <c r="E68">
        <v>70</v>
      </c>
      <c r="F68">
        <v>100</v>
      </c>
      <c r="G68">
        <v>600</v>
      </c>
      <c r="H68">
        <v>30</v>
      </c>
      <c r="J68">
        <v>30</v>
      </c>
      <c r="K68">
        <v>23</v>
      </c>
      <c r="L68">
        <v>50</v>
      </c>
      <c r="M68">
        <v>300</v>
      </c>
      <c r="N68">
        <v>50</v>
      </c>
      <c r="O68">
        <v>15</v>
      </c>
      <c r="P68">
        <v>50</v>
      </c>
      <c r="R68">
        <v>2000</v>
      </c>
    </row>
    <row r="69" spans="1:18" x14ac:dyDescent="0.2">
      <c r="A69">
        <v>600</v>
      </c>
      <c r="B69">
        <v>25</v>
      </c>
      <c r="C69">
        <v>10</v>
      </c>
      <c r="D69">
        <v>200</v>
      </c>
      <c r="E69">
        <v>100</v>
      </c>
      <c r="F69">
        <v>50</v>
      </c>
      <c r="G69">
        <v>200</v>
      </c>
      <c r="H69">
        <v>50</v>
      </c>
      <c r="J69">
        <v>50</v>
      </c>
      <c r="K69">
        <v>30</v>
      </c>
      <c r="L69">
        <v>100</v>
      </c>
      <c r="M69">
        <v>2000</v>
      </c>
      <c r="N69">
        <v>50</v>
      </c>
      <c r="O69">
        <v>20</v>
      </c>
      <c r="P69">
        <v>45</v>
      </c>
      <c r="R69">
        <v>2000</v>
      </c>
    </row>
    <row r="70" spans="1:18" x14ac:dyDescent="0.2">
      <c r="A70">
        <v>1200</v>
      </c>
      <c r="B70">
        <v>60</v>
      </c>
      <c r="C70">
        <v>30</v>
      </c>
      <c r="D70">
        <v>300</v>
      </c>
      <c r="E70">
        <v>100</v>
      </c>
      <c r="F70">
        <v>50</v>
      </c>
      <c r="G70">
        <v>150</v>
      </c>
      <c r="H70">
        <v>100</v>
      </c>
      <c r="J70">
        <v>50</v>
      </c>
      <c r="K70">
        <v>40</v>
      </c>
      <c r="L70">
        <v>250</v>
      </c>
      <c r="M70">
        <v>300</v>
      </c>
      <c r="N70">
        <v>200</v>
      </c>
      <c r="O70">
        <v>5</v>
      </c>
      <c r="P70">
        <v>40</v>
      </c>
      <c r="R70">
        <v>2000</v>
      </c>
    </row>
    <row r="71" spans="1:18" x14ac:dyDescent="0.2">
      <c r="A71">
        <v>980</v>
      </c>
      <c r="B71">
        <v>30</v>
      </c>
      <c r="C71">
        <v>100</v>
      </c>
      <c r="D71">
        <v>300</v>
      </c>
      <c r="E71">
        <v>100</v>
      </c>
      <c r="F71">
        <v>30</v>
      </c>
      <c r="G71">
        <v>60</v>
      </c>
      <c r="H71">
        <v>100</v>
      </c>
      <c r="J71">
        <v>100</v>
      </c>
      <c r="K71">
        <v>30</v>
      </c>
      <c r="L71">
        <v>50</v>
      </c>
      <c r="M71">
        <v>25</v>
      </c>
      <c r="N71">
        <v>100</v>
      </c>
      <c r="O71">
        <v>20</v>
      </c>
      <c r="P71">
        <v>40</v>
      </c>
      <c r="R71">
        <v>2000</v>
      </c>
    </row>
    <row r="72" spans="1:18" x14ac:dyDescent="0.2">
      <c r="A72">
        <v>740</v>
      </c>
      <c r="B72">
        <v>20</v>
      </c>
      <c r="C72">
        <v>20</v>
      </c>
      <c r="D72">
        <v>350</v>
      </c>
      <c r="E72">
        <v>300</v>
      </c>
      <c r="F72">
        <v>100</v>
      </c>
      <c r="G72">
        <v>100</v>
      </c>
      <c r="H72">
        <v>100</v>
      </c>
      <c r="J72">
        <v>50</v>
      </c>
      <c r="K72">
        <v>100</v>
      </c>
      <c r="L72">
        <v>50</v>
      </c>
      <c r="M72">
        <v>100</v>
      </c>
      <c r="N72">
        <v>100</v>
      </c>
      <c r="O72">
        <v>6</v>
      </c>
      <c r="P72">
        <v>40</v>
      </c>
      <c r="R72">
        <v>2000</v>
      </c>
    </row>
    <row r="73" spans="1:18" x14ac:dyDescent="0.2">
      <c r="A73">
        <v>779</v>
      </c>
      <c r="B73">
        <v>75</v>
      </c>
      <c r="C73">
        <v>130</v>
      </c>
      <c r="D73">
        <v>250</v>
      </c>
      <c r="E73">
        <v>120</v>
      </c>
      <c r="F73">
        <v>40</v>
      </c>
      <c r="G73">
        <v>200</v>
      </c>
      <c r="H73">
        <v>100</v>
      </c>
      <c r="J73">
        <v>100</v>
      </c>
      <c r="K73">
        <v>100</v>
      </c>
      <c r="L73">
        <v>150</v>
      </c>
      <c r="M73">
        <v>100</v>
      </c>
      <c r="N73">
        <v>111</v>
      </c>
      <c r="O73">
        <v>10</v>
      </c>
      <c r="P73">
        <v>30</v>
      </c>
      <c r="R73">
        <v>2000</v>
      </c>
    </row>
    <row r="74" spans="1:18" x14ac:dyDescent="0.2">
      <c r="A74">
        <v>1200</v>
      </c>
      <c r="B74">
        <v>20</v>
      </c>
      <c r="C74">
        <v>40</v>
      </c>
      <c r="D74">
        <v>500</v>
      </c>
      <c r="E74">
        <v>15</v>
      </c>
      <c r="F74">
        <v>150</v>
      </c>
      <c r="G74">
        <v>150</v>
      </c>
      <c r="H74">
        <v>100</v>
      </c>
      <c r="J74">
        <v>1000</v>
      </c>
      <c r="K74">
        <v>20</v>
      </c>
      <c r="L74">
        <v>5000</v>
      </c>
      <c r="M74">
        <v>100</v>
      </c>
      <c r="N74">
        <v>200</v>
      </c>
      <c r="O74">
        <v>10</v>
      </c>
      <c r="P74">
        <v>24</v>
      </c>
      <c r="R74">
        <v>2000</v>
      </c>
    </row>
    <row r="75" spans="1:18" x14ac:dyDescent="0.2">
      <c r="A75">
        <v>900</v>
      </c>
      <c r="B75">
        <v>20</v>
      </c>
      <c r="C75">
        <v>23</v>
      </c>
      <c r="D75">
        <v>255</v>
      </c>
      <c r="E75">
        <v>200</v>
      </c>
      <c r="F75">
        <v>60</v>
      </c>
      <c r="G75">
        <v>50</v>
      </c>
      <c r="H75">
        <v>300</v>
      </c>
      <c r="J75">
        <v>20</v>
      </c>
      <c r="K75">
        <v>400</v>
      </c>
      <c r="L75">
        <v>50</v>
      </c>
      <c r="M75">
        <v>100</v>
      </c>
      <c r="N75">
        <v>1600</v>
      </c>
      <c r="O75">
        <v>50</v>
      </c>
      <c r="P75">
        <v>50</v>
      </c>
      <c r="R75">
        <v>2000</v>
      </c>
    </row>
    <row r="76" spans="1:18" x14ac:dyDescent="0.2">
      <c r="A76">
        <v>400</v>
      </c>
      <c r="B76">
        <v>40</v>
      </c>
      <c r="C76">
        <v>80</v>
      </c>
      <c r="D76">
        <v>500</v>
      </c>
      <c r="E76">
        <v>100</v>
      </c>
      <c r="F76">
        <v>80</v>
      </c>
      <c r="G76">
        <v>100</v>
      </c>
      <c r="H76">
        <v>60</v>
      </c>
      <c r="J76">
        <v>100</v>
      </c>
      <c r="K76">
        <v>10</v>
      </c>
      <c r="L76">
        <v>200</v>
      </c>
      <c r="M76">
        <v>400</v>
      </c>
      <c r="N76">
        <v>150</v>
      </c>
      <c r="O76">
        <v>11</v>
      </c>
      <c r="P76">
        <v>80</v>
      </c>
      <c r="R76">
        <v>2000</v>
      </c>
    </row>
    <row r="77" spans="1:18" x14ac:dyDescent="0.2">
      <c r="A77">
        <v>650</v>
      </c>
      <c r="B77">
        <v>13</v>
      </c>
      <c r="C77">
        <v>45</v>
      </c>
      <c r="D77">
        <v>150</v>
      </c>
      <c r="E77">
        <v>120</v>
      </c>
      <c r="F77">
        <v>166</v>
      </c>
      <c r="G77">
        <v>200</v>
      </c>
      <c r="H77">
        <v>600</v>
      </c>
      <c r="J77">
        <v>30</v>
      </c>
      <c r="K77">
        <v>300</v>
      </c>
      <c r="L77">
        <v>50</v>
      </c>
      <c r="M77">
        <v>200</v>
      </c>
      <c r="N77">
        <v>50</v>
      </c>
      <c r="O77">
        <v>15</v>
      </c>
      <c r="P77">
        <v>80</v>
      </c>
      <c r="R77">
        <v>2000</v>
      </c>
    </row>
    <row r="78" spans="1:18" x14ac:dyDescent="0.2">
      <c r="A78">
        <v>1200</v>
      </c>
      <c r="B78">
        <v>30</v>
      </c>
      <c r="C78">
        <v>50</v>
      </c>
      <c r="D78">
        <v>200</v>
      </c>
      <c r="E78">
        <v>30</v>
      </c>
      <c r="F78">
        <v>40</v>
      </c>
      <c r="G78">
        <v>180</v>
      </c>
      <c r="H78">
        <v>1000</v>
      </c>
      <c r="J78">
        <v>30</v>
      </c>
      <c r="K78">
        <v>20</v>
      </c>
      <c r="L78">
        <v>100</v>
      </c>
      <c r="M78">
        <v>100</v>
      </c>
      <c r="N78">
        <v>200</v>
      </c>
      <c r="O78">
        <v>20</v>
      </c>
      <c r="P78">
        <v>70</v>
      </c>
      <c r="R78">
        <v>2000</v>
      </c>
    </row>
    <row r="79" spans="1:18" x14ac:dyDescent="0.2">
      <c r="A79">
        <v>1200</v>
      </c>
      <c r="B79">
        <v>15</v>
      </c>
      <c r="C79">
        <v>20</v>
      </c>
      <c r="D79">
        <v>400</v>
      </c>
      <c r="E79">
        <v>120</v>
      </c>
      <c r="F79">
        <v>75</v>
      </c>
      <c r="G79">
        <v>90</v>
      </c>
      <c r="H79">
        <v>200</v>
      </c>
      <c r="J79">
        <v>30</v>
      </c>
      <c r="K79">
        <v>15</v>
      </c>
      <c r="L79">
        <v>50</v>
      </c>
      <c r="M79">
        <v>50</v>
      </c>
      <c r="N79">
        <v>1000</v>
      </c>
      <c r="O79">
        <v>200</v>
      </c>
      <c r="P79">
        <v>60</v>
      </c>
      <c r="R79">
        <v>2000</v>
      </c>
    </row>
    <row r="80" spans="1:18" x14ac:dyDescent="0.2">
      <c r="A80">
        <v>950</v>
      </c>
      <c r="B80">
        <v>20</v>
      </c>
      <c r="C80">
        <v>20</v>
      </c>
      <c r="D80">
        <v>500</v>
      </c>
      <c r="E80">
        <v>50</v>
      </c>
      <c r="F80">
        <v>4</v>
      </c>
      <c r="G80">
        <v>400</v>
      </c>
      <c r="H80">
        <v>200</v>
      </c>
      <c r="J80">
        <v>100</v>
      </c>
      <c r="K80">
        <v>30</v>
      </c>
      <c r="L80">
        <v>50</v>
      </c>
      <c r="M80">
        <v>100</v>
      </c>
      <c r="N80">
        <v>2000</v>
      </c>
      <c r="O80">
        <v>30</v>
      </c>
      <c r="P80">
        <v>100</v>
      </c>
      <c r="R80">
        <v>2000</v>
      </c>
    </row>
    <row r="81" spans="1:18" x14ac:dyDescent="0.2">
      <c r="A81">
        <v>900</v>
      </c>
      <c r="B81">
        <v>30</v>
      </c>
      <c r="C81">
        <v>50</v>
      </c>
      <c r="D81">
        <v>700</v>
      </c>
      <c r="E81">
        <v>200</v>
      </c>
      <c r="F81">
        <v>10</v>
      </c>
      <c r="G81">
        <v>300</v>
      </c>
      <c r="H81">
        <v>75</v>
      </c>
      <c r="J81">
        <v>100</v>
      </c>
      <c r="K81">
        <v>10</v>
      </c>
      <c r="L81">
        <v>70</v>
      </c>
      <c r="M81">
        <v>150</v>
      </c>
      <c r="N81">
        <v>250</v>
      </c>
      <c r="O81">
        <v>62</v>
      </c>
      <c r="P81">
        <v>100</v>
      </c>
      <c r="R81">
        <v>2000</v>
      </c>
    </row>
    <row r="82" spans="1:18" x14ac:dyDescent="0.2">
      <c r="A82">
        <v>1380</v>
      </c>
      <c r="B82">
        <v>60</v>
      </c>
      <c r="C82">
        <v>65</v>
      </c>
      <c r="D82">
        <v>600</v>
      </c>
      <c r="E82">
        <v>50</v>
      </c>
      <c r="F82">
        <v>100</v>
      </c>
      <c r="G82">
        <v>150</v>
      </c>
      <c r="H82">
        <v>150</v>
      </c>
      <c r="J82">
        <v>100</v>
      </c>
      <c r="K82">
        <v>2</v>
      </c>
      <c r="L82">
        <v>300</v>
      </c>
      <c r="M82">
        <v>60</v>
      </c>
      <c r="N82">
        <v>583.29999999999995</v>
      </c>
      <c r="O82">
        <v>62.5</v>
      </c>
      <c r="P82">
        <v>100</v>
      </c>
      <c r="R82">
        <v>2000</v>
      </c>
    </row>
    <row r="83" spans="1:18" x14ac:dyDescent="0.2">
      <c r="A83">
        <v>1000</v>
      </c>
      <c r="B83">
        <v>20</v>
      </c>
      <c r="C83">
        <v>80</v>
      </c>
      <c r="D83">
        <v>450</v>
      </c>
      <c r="E83">
        <v>100</v>
      </c>
      <c r="F83">
        <v>33</v>
      </c>
      <c r="G83">
        <v>300</v>
      </c>
      <c r="H83">
        <v>100</v>
      </c>
      <c r="J83">
        <v>10</v>
      </c>
      <c r="K83">
        <v>10</v>
      </c>
      <c r="L83">
        <v>300</v>
      </c>
      <c r="M83">
        <v>200</v>
      </c>
      <c r="N83">
        <v>1400</v>
      </c>
      <c r="O83">
        <v>25</v>
      </c>
      <c r="P83">
        <v>83</v>
      </c>
      <c r="R83">
        <v>2000</v>
      </c>
    </row>
    <row r="84" spans="1:18" x14ac:dyDescent="0.2">
      <c r="A84">
        <v>912</v>
      </c>
      <c r="B84">
        <v>50</v>
      </c>
      <c r="C84">
        <v>60</v>
      </c>
      <c r="D84">
        <v>362</v>
      </c>
      <c r="E84">
        <v>1200</v>
      </c>
      <c r="F84">
        <v>10</v>
      </c>
      <c r="G84">
        <v>100</v>
      </c>
      <c r="H84">
        <v>600</v>
      </c>
      <c r="J84">
        <v>30</v>
      </c>
      <c r="K84">
        <v>37</v>
      </c>
      <c r="L84">
        <v>200</v>
      </c>
      <c r="M84">
        <v>400</v>
      </c>
      <c r="N84">
        <v>2000</v>
      </c>
      <c r="O84">
        <v>45</v>
      </c>
      <c r="P84">
        <v>100</v>
      </c>
      <c r="R84">
        <v>2000</v>
      </c>
    </row>
    <row r="85" spans="1:18" x14ac:dyDescent="0.2">
      <c r="A85">
        <v>1000</v>
      </c>
      <c r="B85">
        <v>10</v>
      </c>
      <c r="C85">
        <v>70</v>
      </c>
      <c r="D85">
        <v>277</v>
      </c>
      <c r="E85">
        <v>40</v>
      </c>
      <c r="F85">
        <v>50</v>
      </c>
      <c r="G85">
        <v>150</v>
      </c>
      <c r="H85">
        <v>50</v>
      </c>
      <c r="J85">
        <v>50</v>
      </c>
      <c r="K85">
        <v>20</v>
      </c>
      <c r="L85">
        <v>75</v>
      </c>
      <c r="M85">
        <v>50</v>
      </c>
      <c r="N85">
        <v>550</v>
      </c>
      <c r="O85">
        <v>30</v>
      </c>
      <c r="P85">
        <v>100</v>
      </c>
      <c r="R85">
        <v>1900</v>
      </c>
    </row>
    <row r="86" spans="1:18" x14ac:dyDescent="0.2">
      <c r="A86">
        <v>900</v>
      </c>
      <c r="B86">
        <v>65</v>
      </c>
      <c r="C86">
        <v>50</v>
      </c>
      <c r="D86">
        <v>300</v>
      </c>
      <c r="E86">
        <v>60</v>
      </c>
      <c r="F86">
        <v>10</v>
      </c>
      <c r="G86">
        <v>150</v>
      </c>
      <c r="H86">
        <v>100</v>
      </c>
      <c r="J86">
        <v>100</v>
      </c>
      <c r="K86">
        <v>50</v>
      </c>
      <c r="L86">
        <v>25</v>
      </c>
      <c r="M86">
        <v>300</v>
      </c>
      <c r="N86">
        <v>150</v>
      </c>
      <c r="O86">
        <v>15</v>
      </c>
      <c r="P86">
        <v>100</v>
      </c>
      <c r="R86">
        <v>1900</v>
      </c>
    </row>
    <row r="87" spans="1:18" x14ac:dyDescent="0.2">
      <c r="A87">
        <v>1100</v>
      </c>
      <c r="B87">
        <v>50</v>
      </c>
      <c r="C87">
        <v>25</v>
      </c>
      <c r="D87">
        <v>500</v>
      </c>
      <c r="E87">
        <v>120</v>
      </c>
      <c r="F87">
        <v>50</v>
      </c>
      <c r="G87">
        <v>75</v>
      </c>
      <c r="H87">
        <v>300</v>
      </c>
      <c r="J87">
        <v>20</v>
      </c>
      <c r="K87">
        <v>100</v>
      </c>
      <c r="L87">
        <v>150</v>
      </c>
      <c r="M87">
        <v>500</v>
      </c>
      <c r="N87">
        <v>200</v>
      </c>
      <c r="O87">
        <v>200</v>
      </c>
      <c r="P87">
        <v>150</v>
      </c>
      <c r="R87" s="12">
        <v>1800</v>
      </c>
    </row>
    <row r="88" spans="1:18" x14ac:dyDescent="0.2">
      <c r="A88">
        <v>1100</v>
      </c>
      <c r="B88">
        <v>70</v>
      </c>
      <c r="C88">
        <v>100</v>
      </c>
      <c r="D88">
        <v>400</v>
      </c>
      <c r="E88">
        <v>40</v>
      </c>
      <c r="F88">
        <v>330</v>
      </c>
      <c r="G88">
        <v>300</v>
      </c>
      <c r="H88">
        <v>100</v>
      </c>
      <c r="J88">
        <v>200</v>
      </c>
      <c r="K88">
        <v>50</v>
      </c>
      <c r="L88">
        <v>100</v>
      </c>
      <c r="M88">
        <v>100</v>
      </c>
      <c r="N88">
        <v>100</v>
      </c>
      <c r="O88">
        <v>50</v>
      </c>
      <c r="P88">
        <v>150</v>
      </c>
      <c r="R88">
        <v>1800</v>
      </c>
    </row>
    <row r="89" spans="1:18" x14ac:dyDescent="0.2">
      <c r="A89">
        <v>1450</v>
      </c>
      <c r="B89">
        <v>15</v>
      </c>
      <c r="C89">
        <v>50</v>
      </c>
      <c r="D89">
        <v>425</v>
      </c>
      <c r="E89">
        <v>120</v>
      </c>
      <c r="F89">
        <v>25</v>
      </c>
      <c r="G89">
        <v>500</v>
      </c>
      <c r="H89">
        <v>150</v>
      </c>
      <c r="J89">
        <v>50</v>
      </c>
      <c r="K89">
        <v>20</v>
      </c>
      <c r="L89">
        <v>300</v>
      </c>
      <c r="M89">
        <v>1000</v>
      </c>
      <c r="N89">
        <v>987</v>
      </c>
      <c r="O89">
        <v>24</v>
      </c>
      <c r="P89">
        <v>150</v>
      </c>
      <c r="R89">
        <v>1800</v>
      </c>
    </row>
    <row r="90" spans="1:18" x14ac:dyDescent="0.2">
      <c r="A90">
        <v>1500</v>
      </c>
      <c r="B90">
        <v>100</v>
      </c>
      <c r="C90">
        <v>25</v>
      </c>
      <c r="D90">
        <v>900</v>
      </c>
      <c r="E90">
        <v>50</v>
      </c>
      <c r="F90">
        <v>30</v>
      </c>
      <c r="G90">
        <v>300</v>
      </c>
      <c r="H90">
        <v>200</v>
      </c>
      <c r="J90">
        <v>100</v>
      </c>
      <c r="K90">
        <v>20</v>
      </c>
      <c r="L90">
        <v>50</v>
      </c>
      <c r="M90">
        <v>50</v>
      </c>
      <c r="N90">
        <v>400</v>
      </c>
      <c r="O90">
        <v>20</v>
      </c>
      <c r="P90">
        <v>100</v>
      </c>
      <c r="R90">
        <v>1800</v>
      </c>
    </row>
    <row r="91" spans="1:18" x14ac:dyDescent="0.2">
      <c r="A91">
        <v>750</v>
      </c>
      <c r="B91">
        <v>30</v>
      </c>
      <c r="C91">
        <v>75</v>
      </c>
      <c r="D91">
        <v>350</v>
      </c>
      <c r="E91">
        <v>50</v>
      </c>
      <c r="F91">
        <v>50</v>
      </c>
      <c r="G91">
        <v>500</v>
      </c>
      <c r="H91">
        <v>150</v>
      </c>
      <c r="J91">
        <v>50</v>
      </c>
      <c r="K91">
        <v>30</v>
      </c>
      <c r="L91">
        <v>20</v>
      </c>
      <c r="M91">
        <v>100</v>
      </c>
      <c r="N91">
        <v>500</v>
      </c>
      <c r="O91">
        <v>20</v>
      </c>
      <c r="P91">
        <v>100</v>
      </c>
      <c r="R91">
        <v>1800</v>
      </c>
    </row>
    <row r="92" spans="1:18" x14ac:dyDescent="0.2">
      <c r="A92">
        <v>766</v>
      </c>
      <c r="B92">
        <v>50</v>
      </c>
      <c r="C92">
        <v>20</v>
      </c>
      <c r="D92">
        <v>200</v>
      </c>
      <c r="E92">
        <v>100</v>
      </c>
      <c r="F92">
        <v>20</v>
      </c>
      <c r="G92">
        <v>250</v>
      </c>
      <c r="H92">
        <v>50</v>
      </c>
      <c r="J92">
        <v>30</v>
      </c>
      <c r="K92">
        <v>90</v>
      </c>
      <c r="L92">
        <v>20</v>
      </c>
      <c r="M92">
        <v>2000</v>
      </c>
      <c r="N92">
        <v>600</v>
      </c>
      <c r="O92">
        <v>20</v>
      </c>
      <c r="P92">
        <v>150</v>
      </c>
      <c r="R92">
        <v>1750</v>
      </c>
    </row>
    <row r="93" spans="1:18" x14ac:dyDescent="0.2">
      <c r="A93">
        <v>900</v>
      </c>
      <c r="B93">
        <v>100</v>
      </c>
      <c r="C93">
        <v>40</v>
      </c>
      <c r="D93">
        <v>750</v>
      </c>
      <c r="E93">
        <v>120</v>
      </c>
      <c r="F93">
        <v>40</v>
      </c>
      <c r="G93">
        <v>200</v>
      </c>
      <c r="H93">
        <v>150</v>
      </c>
      <c r="J93">
        <v>500</v>
      </c>
      <c r="K93">
        <v>10</v>
      </c>
      <c r="L93">
        <v>150</v>
      </c>
      <c r="M93">
        <v>500</v>
      </c>
      <c r="N93">
        <v>1000</v>
      </c>
      <c r="O93">
        <v>15</v>
      </c>
      <c r="P93">
        <v>200</v>
      </c>
      <c r="R93">
        <v>1750</v>
      </c>
    </row>
    <row r="94" spans="1:18" x14ac:dyDescent="0.2">
      <c r="A94">
        <v>580</v>
      </c>
      <c r="B94">
        <v>50</v>
      </c>
      <c r="C94">
        <v>100</v>
      </c>
      <c r="D94">
        <v>263</v>
      </c>
      <c r="E94">
        <v>85</v>
      </c>
      <c r="F94">
        <v>50</v>
      </c>
      <c r="G94">
        <v>400</v>
      </c>
      <c r="H94">
        <v>100</v>
      </c>
      <c r="J94">
        <v>40</v>
      </c>
      <c r="K94">
        <v>20</v>
      </c>
      <c r="L94">
        <v>50</v>
      </c>
      <c r="M94">
        <v>200</v>
      </c>
      <c r="N94">
        <v>10000</v>
      </c>
      <c r="O94">
        <v>50</v>
      </c>
      <c r="P94">
        <v>200</v>
      </c>
      <c r="R94">
        <v>1700</v>
      </c>
    </row>
    <row r="95" spans="1:18" x14ac:dyDescent="0.2">
      <c r="A95">
        <v>800</v>
      </c>
      <c r="B95">
        <v>10</v>
      </c>
      <c r="C95">
        <v>50</v>
      </c>
      <c r="D95">
        <v>450</v>
      </c>
      <c r="E95">
        <v>50</v>
      </c>
      <c r="F95">
        <v>15</v>
      </c>
      <c r="G95">
        <v>400</v>
      </c>
      <c r="H95">
        <v>100</v>
      </c>
      <c r="J95">
        <v>50</v>
      </c>
      <c r="K95">
        <v>10</v>
      </c>
      <c r="L95">
        <v>25</v>
      </c>
      <c r="M95">
        <v>400</v>
      </c>
      <c r="N95">
        <v>13000</v>
      </c>
      <c r="O95">
        <v>30</v>
      </c>
      <c r="P95">
        <v>200</v>
      </c>
      <c r="R95">
        <v>1676</v>
      </c>
    </row>
    <row r="96" spans="1:18" x14ac:dyDescent="0.2">
      <c r="A96">
        <v>1000</v>
      </c>
      <c r="B96">
        <v>100</v>
      </c>
      <c r="C96">
        <v>45</v>
      </c>
      <c r="D96">
        <v>600</v>
      </c>
      <c r="E96">
        <v>30</v>
      </c>
      <c r="F96">
        <v>50</v>
      </c>
      <c r="G96">
        <v>200</v>
      </c>
      <c r="H96">
        <v>100</v>
      </c>
      <c r="J96">
        <v>75</v>
      </c>
      <c r="K96">
        <v>30</v>
      </c>
      <c r="L96">
        <v>50</v>
      </c>
      <c r="M96">
        <v>20</v>
      </c>
      <c r="N96">
        <v>200</v>
      </c>
      <c r="O96">
        <v>50</v>
      </c>
      <c r="P96">
        <v>200</v>
      </c>
      <c r="R96" s="12">
        <v>1632</v>
      </c>
    </row>
    <row r="97" spans="1:18" x14ac:dyDescent="0.2">
      <c r="A97">
        <v>1500</v>
      </c>
      <c r="B97">
        <v>70</v>
      </c>
      <c r="C97">
        <v>50</v>
      </c>
      <c r="D97">
        <v>100</v>
      </c>
      <c r="E97">
        <v>100</v>
      </c>
      <c r="F97">
        <v>20</v>
      </c>
      <c r="G97">
        <v>200</v>
      </c>
      <c r="H97">
        <v>125</v>
      </c>
      <c r="J97">
        <v>50</v>
      </c>
      <c r="K97">
        <v>10</v>
      </c>
      <c r="L97">
        <v>120</v>
      </c>
      <c r="M97">
        <v>75</v>
      </c>
      <c r="N97">
        <v>50</v>
      </c>
      <c r="O97">
        <v>100</v>
      </c>
      <c r="P97">
        <v>400</v>
      </c>
      <c r="R97">
        <v>1630</v>
      </c>
    </row>
    <row r="98" spans="1:18" x14ac:dyDescent="0.2">
      <c r="A98">
        <v>2000</v>
      </c>
      <c r="B98">
        <v>50</v>
      </c>
      <c r="C98">
        <v>50</v>
      </c>
      <c r="D98">
        <v>200</v>
      </c>
      <c r="E98">
        <v>80</v>
      </c>
      <c r="F98">
        <v>83</v>
      </c>
      <c r="G98">
        <v>50</v>
      </c>
      <c r="H98">
        <v>200</v>
      </c>
      <c r="J98">
        <v>100</v>
      </c>
      <c r="K98">
        <v>50</v>
      </c>
      <c r="L98">
        <v>100</v>
      </c>
      <c r="M98">
        <v>300</v>
      </c>
      <c r="N98">
        <v>5</v>
      </c>
      <c r="O98">
        <v>20</v>
      </c>
      <c r="P98">
        <v>300</v>
      </c>
      <c r="R98">
        <v>1600</v>
      </c>
    </row>
    <row r="99" spans="1:18" x14ac:dyDescent="0.2">
      <c r="A99">
        <v>900</v>
      </c>
      <c r="B99">
        <v>30</v>
      </c>
      <c r="C99">
        <v>50</v>
      </c>
      <c r="D99">
        <v>350</v>
      </c>
      <c r="E99">
        <v>60</v>
      </c>
      <c r="F99">
        <v>20</v>
      </c>
      <c r="G99">
        <v>70</v>
      </c>
      <c r="H99">
        <v>200</v>
      </c>
      <c r="J99">
        <v>100</v>
      </c>
      <c r="K99">
        <v>15</v>
      </c>
      <c r="L99">
        <v>100</v>
      </c>
      <c r="M99">
        <v>70</v>
      </c>
      <c r="N99">
        <v>100</v>
      </c>
      <c r="O99">
        <v>15</v>
      </c>
      <c r="P99">
        <v>250</v>
      </c>
      <c r="R99">
        <v>1583</v>
      </c>
    </row>
    <row r="100" spans="1:18" x14ac:dyDescent="0.2">
      <c r="A100">
        <v>1000</v>
      </c>
      <c r="B100">
        <v>100</v>
      </c>
      <c r="C100">
        <v>15</v>
      </c>
      <c r="D100">
        <v>150</v>
      </c>
      <c r="E100">
        <v>75</v>
      </c>
      <c r="F100">
        <v>25</v>
      </c>
      <c r="G100">
        <v>30</v>
      </c>
      <c r="H100">
        <v>800</v>
      </c>
      <c r="J100">
        <v>50</v>
      </c>
      <c r="K100">
        <v>10</v>
      </c>
      <c r="L100">
        <v>10</v>
      </c>
      <c r="M100">
        <v>200</v>
      </c>
      <c r="N100">
        <v>100</v>
      </c>
      <c r="O100">
        <v>50</v>
      </c>
      <c r="P100">
        <v>200</v>
      </c>
      <c r="R100">
        <v>1500</v>
      </c>
    </row>
    <row r="101" spans="1:18" x14ac:dyDescent="0.2">
      <c r="A101">
        <v>1150</v>
      </c>
      <c r="B101">
        <v>37</v>
      </c>
      <c r="C101">
        <v>50</v>
      </c>
      <c r="D101">
        <v>250</v>
      </c>
      <c r="E101">
        <v>40</v>
      </c>
      <c r="F101">
        <v>30</v>
      </c>
      <c r="G101">
        <v>300</v>
      </c>
      <c r="H101">
        <v>50</v>
      </c>
      <c r="J101">
        <v>25</v>
      </c>
      <c r="K101">
        <v>30</v>
      </c>
      <c r="L101">
        <v>70</v>
      </c>
      <c r="M101">
        <v>200</v>
      </c>
      <c r="N101">
        <v>300</v>
      </c>
      <c r="O101">
        <v>20</v>
      </c>
      <c r="P101">
        <v>200</v>
      </c>
      <c r="R101">
        <v>1500</v>
      </c>
    </row>
    <row r="102" spans="1:18" x14ac:dyDescent="0.2">
      <c r="A102">
        <v>850</v>
      </c>
      <c r="B102">
        <v>50</v>
      </c>
      <c r="C102">
        <v>100</v>
      </c>
      <c r="D102">
        <v>500</v>
      </c>
      <c r="E102">
        <v>100</v>
      </c>
      <c r="F102">
        <v>30</v>
      </c>
      <c r="G102">
        <v>500</v>
      </c>
      <c r="H102">
        <v>104</v>
      </c>
      <c r="J102">
        <v>150</v>
      </c>
      <c r="K102">
        <v>10</v>
      </c>
      <c r="L102">
        <v>50</v>
      </c>
      <c r="M102">
        <v>400</v>
      </c>
      <c r="N102">
        <v>100</v>
      </c>
      <c r="O102">
        <v>45</v>
      </c>
      <c r="P102">
        <v>200</v>
      </c>
      <c r="R102">
        <v>1500</v>
      </c>
    </row>
    <row r="103" spans="1:18" x14ac:dyDescent="0.2">
      <c r="A103">
        <v>535</v>
      </c>
      <c r="B103">
        <v>130</v>
      </c>
      <c r="C103">
        <v>50</v>
      </c>
      <c r="D103">
        <v>900</v>
      </c>
      <c r="E103">
        <v>60</v>
      </c>
      <c r="F103">
        <v>120</v>
      </c>
      <c r="G103">
        <v>300</v>
      </c>
      <c r="H103">
        <v>100</v>
      </c>
      <c r="J103">
        <v>40</v>
      </c>
      <c r="K103">
        <v>15</v>
      </c>
      <c r="L103">
        <v>300</v>
      </c>
      <c r="M103">
        <v>300</v>
      </c>
      <c r="N103" s="12">
        <v>1000</v>
      </c>
      <c r="O103">
        <v>20</v>
      </c>
      <c r="P103">
        <v>200</v>
      </c>
      <c r="R103">
        <v>1500</v>
      </c>
    </row>
    <row r="104" spans="1:18" x14ac:dyDescent="0.2">
      <c r="A104">
        <v>700</v>
      </c>
      <c r="B104">
        <v>100</v>
      </c>
      <c r="C104">
        <v>40</v>
      </c>
      <c r="D104">
        <v>100</v>
      </c>
      <c r="E104">
        <v>15</v>
      </c>
      <c r="F104">
        <v>15</v>
      </c>
      <c r="G104">
        <v>500</v>
      </c>
      <c r="H104">
        <v>100</v>
      </c>
      <c r="J104">
        <v>100</v>
      </c>
      <c r="K104">
        <v>5</v>
      </c>
      <c r="L104">
        <v>100</v>
      </c>
      <c r="M104">
        <v>3000</v>
      </c>
      <c r="N104">
        <v>80</v>
      </c>
      <c r="O104">
        <v>12</v>
      </c>
      <c r="P104">
        <v>200</v>
      </c>
      <c r="R104">
        <v>1500</v>
      </c>
    </row>
    <row r="105" spans="1:18" x14ac:dyDescent="0.2">
      <c r="A105">
        <v>200</v>
      </c>
      <c r="B105">
        <v>144</v>
      </c>
      <c r="C105">
        <v>50</v>
      </c>
      <c r="D105">
        <v>400</v>
      </c>
      <c r="E105">
        <v>300</v>
      </c>
      <c r="F105">
        <v>100</v>
      </c>
      <c r="G105">
        <v>300</v>
      </c>
      <c r="H105">
        <v>500</v>
      </c>
      <c r="J105">
        <v>33</v>
      </c>
      <c r="K105">
        <v>20</v>
      </c>
      <c r="L105">
        <v>25</v>
      </c>
      <c r="M105">
        <v>100</v>
      </c>
      <c r="N105">
        <v>200</v>
      </c>
      <c r="O105">
        <v>240</v>
      </c>
      <c r="P105">
        <v>200</v>
      </c>
      <c r="R105">
        <v>1500</v>
      </c>
    </row>
    <row r="106" spans="1:18" x14ac:dyDescent="0.2">
      <c r="A106">
        <v>725</v>
      </c>
      <c r="B106">
        <v>30</v>
      </c>
      <c r="C106">
        <v>30</v>
      </c>
      <c r="D106">
        <v>747</v>
      </c>
      <c r="E106">
        <v>100</v>
      </c>
      <c r="F106">
        <v>20</v>
      </c>
      <c r="G106">
        <v>260</v>
      </c>
      <c r="H106">
        <v>50</v>
      </c>
      <c r="J106">
        <v>50</v>
      </c>
      <c r="K106">
        <v>20</v>
      </c>
      <c r="L106">
        <v>100</v>
      </c>
      <c r="M106">
        <v>1000</v>
      </c>
      <c r="N106">
        <v>50</v>
      </c>
      <c r="O106">
        <v>100</v>
      </c>
      <c r="P106">
        <v>200</v>
      </c>
      <c r="R106">
        <v>1500</v>
      </c>
    </row>
    <row r="107" spans="1:18" x14ac:dyDescent="0.2">
      <c r="A107">
        <v>1300</v>
      </c>
      <c r="B107">
        <v>35</v>
      </c>
      <c r="C107">
        <v>30</v>
      </c>
      <c r="D107">
        <v>100</v>
      </c>
      <c r="E107">
        <v>60</v>
      </c>
      <c r="F107">
        <v>150</v>
      </c>
      <c r="G107">
        <v>500</v>
      </c>
      <c r="H107">
        <v>500</v>
      </c>
      <c r="J107">
        <v>400</v>
      </c>
      <c r="K107">
        <v>20</v>
      </c>
      <c r="L107">
        <v>100</v>
      </c>
      <c r="M107">
        <v>100</v>
      </c>
      <c r="N107">
        <v>83</v>
      </c>
      <c r="O107">
        <v>50</v>
      </c>
      <c r="P107">
        <v>200</v>
      </c>
      <c r="R107">
        <v>1500</v>
      </c>
    </row>
    <row r="108" spans="1:18" x14ac:dyDescent="0.2">
      <c r="A108">
        <v>700</v>
      </c>
      <c r="B108">
        <v>50</v>
      </c>
      <c r="C108">
        <v>70</v>
      </c>
      <c r="D108">
        <v>210</v>
      </c>
      <c r="E108">
        <v>120</v>
      </c>
      <c r="F108">
        <v>10</v>
      </c>
      <c r="G108">
        <v>70</v>
      </c>
      <c r="H108">
        <v>100</v>
      </c>
      <c r="J108">
        <v>50</v>
      </c>
      <c r="K108">
        <v>20</v>
      </c>
      <c r="L108">
        <v>100</v>
      </c>
      <c r="M108">
        <v>8000</v>
      </c>
      <c r="N108">
        <v>100</v>
      </c>
      <c r="O108">
        <v>50</v>
      </c>
      <c r="P108">
        <v>240</v>
      </c>
      <c r="R108">
        <v>1500</v>
      </c>
    </row>
    <row r="109" spans="1:18" x14ac:dyDescent="0.2">
      <c r="A109">
        <v>1200</v>
      </c>
      <c r="B109">
        <v>60</v>
      </c>
      <c r="C109">
        <v>100</v>
      </c>
      <c r="D109">
        <v>130</v>
      </c>
      <c r="E109">
        <v>10</v>
      </c>
      <c r="F109">
        <v>200</v>
      </c>
      <c r="G109">
        <v>50</v>
      </c>
      <c r="H109">
        <v>50</v>
      </c>
      <c r="J109">
        <v>200</v>
      </c>
      <c r="K109">
        <v>20</v>
      </c>
      <c r="L109">
        <v>300</v>
      </c>
      <c r="M109">
        <v>50</v>
      </c>
      <c r="N109">
        <v>200</v>
      </c>
      <c r="O109">
        <v>27</v>
      </c>
      <c r="P109">
        <v>400</v>
      </c>
      <c r="R109">
        <v>1400</v>
      </c>
    </row>
    <row r="110" spans="1:18" x14ac:dyDescent="0.2">
      <c r="A110">
        <v>670</v>
      </c>
      <c r="B110">
        <v>75</v>
      </c>
      <c r="C110">
        <v>100</v>
      </c>
      <c r="D110">
        <v>100</v>
      </c>
      <c r="E110">
        <v>90</v>
      </c>
      <c r="F110">
        <v>66</v>
      </c>
      <c r="G110">
        <v>100</v>
      </c>
      <c r="H110">
        <v>250</v>
      </c>
      <c r="J110">
        <v>30</v>
      </c>
      <c r="K110">
        <v>100</v>
      </c>
      <c r="L110">
        <v>30</v>
      </c>
      <c r="M110">
        <v>15</v>
      </c>
      <c r="N110">
        <v>1000</v>
      </c>
      <c r="O110">
        <v>10</v>
      </c>
      <c r="P110">
        <v>400</v>
      </c>
      <c r="R110">
        <v>1400</v>
      </c>
    </row>
    <row r="111" spans="1:18" x14ac:dyDescent="0.2">
      <c r="A111">
        <v>850</v>
      </c>
      <c r="B111">
        <v>100</v>
      </c>
      <c r="C111">
        <v>30</v>
      </c>
      <c r="D111">
        <v>145</v>
      </c>
      <c r="E111">
        <v>45</v>
      </c>
      <c r="F111">
        <v>100</v>
      </c>
      <c r="G111">
        <v>200</v>
      </c>
      <c r="H111">
        <v>300</v>
      </c>
      <c r="J111">
        <v>50</v>
      </c>
      <c r="K111">
        <v>20</v>
      </c>
      <c r="L111">
        <v>50</v>
      </c>
      <c r="M111">
        <v>100</v>
      </c>
      <c r="N111">
        <v>1000</v>
      </c>
      <c r="O111">
        <v>100</v>
      </c>
      <c r="P111">
        <v>400</v>
      </c>
      <c r="R111">
        <v>1400</v>
      </c>
    </row>
    <row r="112" spans="1:18" x14ac:dyDescent="0.2">
      <c r="A112">
        <v>300</v>
      </c>
      <c r="B112">
        <v>100</v>
      </c>
      <c r="C112">
        <v>35</v>
      </c>
      <c r="E112">
        <v>80</v>
      </c>
      <c r="G112">
        <v>100</v>
      </c>
      <c r="H112">
        <v>500</v>
      </c>
      <c r="J112">
        <v>200</v>
      </c>
      <c r="K112">
        <v>20</v>
      </c>
      <c r="L112">
        <v>50</v>
      </c>
      <c r="M112">
        <v>10</v>
      </c>
      <c r="N112">
        <v>50</v>
      </c>
      <c r="O112">
        <v>20</v>
      </c>
      <c r="P112">
        <v>600</v>
      </c>
      <c r="R112">
        <v>1300</v>
      </c>
    </row>
    <row r="113" spans="1:18" x14ac:dyDescent="0.2">
      <c r="A113">
        <v>1100</v>
      </c>
      <c r="B113">
        <v>10</v>
      </c>
      <c r="C113">
        <v>30</v>
      </c>
      <c r="E113">
        <v>75</v>
      </c>
      <c r="G113">
        <v>180</v>
      </c>
      <c r="H113">
        <v>60</v>
      </c>
      <c r="J113">
        <v>50</v>
      </c>
      <c r="K113">
        <v>25</v>
      </c>
      <c r="L113">
        <v>45</v>
      </c>
      <c r="M113">
        <v>2000</v>
      </c>
      <c r="N113">
        <v>100</v>
      </c>
      <c r="O113">
        <v>20</v>
      </c>
      <c r="P113">
        <v>900</v>
      </c>
      <c r="R113">
        <v>1300</v>
      </c>
    </row>
    <row r="114" spans="1:18" x14ac:dyDescent="0.2">
      <c r="A114">
        <v>1000</v>
      </c>
      <c r="B114">
        <v>200</v>
      </c>
      <c r="C114">
        <v>20</v>
      </c>
      <c r="E114">
        <v>150</v>
      </c>
      <c r="G114">
        <v>100</v>
      </c>
      <c r="H114">
        <v>170</v>
      </c>
      <c r="J114">
        <v>50</v>
      </c>
      <c r="K114">
        <v>30</v>
      </c>
      <c r="L114">
        <v>20</v>
      </c>
      <c r="M114">
        <v>40</v>
      </c>
      <c r="N114">
        <v>10</v>
      </c>
      <c r="O114">
        <v>25</v>
      </c>
      <c r="P114">
        <v>120</v>
      </c>
      <c r="R114">
        <v>1300</v>
      </c>
    </row>
    <row r="115" spans="1:18" x14ac:dyDescent="0.2">
      <c r="A115">
        <v>725</v>
      </c>
      <c r="B115">
        <v>50</v>
      </c>
      <c r="C115">
        <v>25</v>
      </c>
      <c r="E115">
        <v>90</v>
      </c>
      <c r="G115">
        <v>250</v>
      </c>
      <c r="H115">
        <v>30</v>
      </c>
      <c r="J115">
        <v>20</v>
      </c>
      <c r="K115">
        <v>10</v>
      </c>
      <c r="L115">
        <v>40</v>
      </c>
      <c r="M115">
        <v>50</v>
      </c>
      <c r="N115">
        <v>200</v>
      </c>
      <c r="O115">
        <v>25</v>
      </c>
      <c r="P115">
        <v>100</v>
      </c>
      <c r="R115" s="12">
        <v>1300</v>
      </c>
    </row>
    <row r="116" spans="1:18" x14ac:dyDescent="0.2">
      <c r="A116">
        <v>711</v>
      </c>
      <c r="B116">
        <v>50</v>
      </c>
      <c r="C116">
        <v>20</v>
      </c>
      <c r="E116">
        <v>120</v>
      </c>
      <c r="G116">
        <v>256</v>
      </c>
      <c r="H116">
        <v>600</v>
      </c>
      <c r="J116">
        <v>30</v>
      </c>
      <c r="K116">
        <v>20</v>
      </c>
      <c r="L116">
        <v>200</v>
      </c>
      <c r="M116">
        <v>50</v>
      </c>
      <c r="N116">
        <v>200</v>
      </c>
      <c r="O116">
        <v>30</v>
      </c>
      <c r="P116">
        <v>100</v>
      </c>
      <c r="R116">
        <v>1300</v>
      </c>
    </row>
    <row r="117" spans="1:18" x14ac:dyDescent="0.2">
      <c r="A117">
        <v>800</v>
      </c>
      <c r="B117">
        <v>80</v>
      </c>
      <c r="C117">
        <v>35</v>
      </c>
      <c r="E117">
        <v>60</v>
      </c>
      <c r="G117">
        <v>130</v>
      </c>
      <c r="H117">
        <v>100</v>
      </c>
      <c r="J117">
        <v>50</v>
      </c>
      <c r="K117">
        <v>30</v>
      </c>
      <c r="L117">
        <v>50</v>
      </c>
      <c r="M117">
        <v>291</v>
      </c>
      <c r="N117">
        <v>500</v>
      </c>
      <c r="O117">
        <v>15</v>
      </c>
      <c r="P117">
        <v>100</v>
      </c>
      <c r="R117">
        <v>1300</v>
      </c>
    </row>
    <row r="118" spans="1:18" x14ac:dyDescent="0.2">
      <c r="A118">
        <v>1080</v>
      </c>
      <c r="B118">
        <v>20</v>
      </c>
      <c r="C118">
        <v>100</v>
      </c>
      <c r="E118">
        <v>120</v>
      </c>
      <c r="G118">
        <v>150</v>
      </c>
      <c r="H118">
        <v>100</v>
      </c>
      <c r="J118">
        <v>20</v>
      </c>
      <c r="K118">
        <v>50</v>
      </c>
      <c r="L118">
        <v>10</v>
      </c>
      <c r="M118">
        <v>160</v>
      </c>
      <c r="N118">
        <v>50</v>
      </c>
      <c r="O118">
        <v>500</v>
      </c>
      <c r="P118">
        <v>100</v>
      </c>
      <c r="R118">
        <v>1300</v>
      </c>
    </row>
    <row r="119" spans="1:18" x14ac:dyDescent="0.2">
      <c r="A119">
        <v>1000</v>
      </c>
      <c r="B119">
        <v>50</v>
      </c>
      <c r="C119">
        <v>50</v>
      </c>
      <c r="E119">
        <v>30</v>
      </c>
      <c r="G119">
        <v>300</v>
      </c>
      <c r="H119">
        <v>25</v>
      </c>
      <c r="J119">
        <v>200</v>
      </c>
      <c r="K119">
        <v>10</v>
      </c>
      <c r="L119">
        <v>50</v>
      </c>
      <c r="M119">
        <v>100</v>
      </c>
      <c r="N119">
        <v>300</v>
      </c>
      <c r="O119">
        <v>100</v>
      </c>
      <c r="P119">
        <v>80</v>
      </c>
      <c r="R119" s="12">
        <v>1200</v>
      </c>
    </row>
    <row r="120" spans="1:18" x14ac:dyDescent="0.2">
      <c r="A120">
        <v>1400</v>
      </c>
      <c r="B120">
        <v>8</v>
      </c>
      <c r="C120">
        <v>50</v>
      </c>
      <c r="E120">
        <v>75</v>
      </c>
      <c r="G120">
        <v>1200</v>
      </c>
      <c r="H120">
        <v>50</v>
      </c>
      <c r="J120">
        <v>50</v>
      </c>
      <c r="K120">
        <v>20</v>
      </c>
      <c r="L120">
        <v>200</v>
      </c>
      <c r="M120">
        <v>80</v>
      </c>
      <c r="N120">
        <v>100</v>
      </c>
      <c r="O120">
        <v>60</v>
      </c>
      <c r="P120">
        <v>50</v>
      </c>
      <c r="R120">
        <v>1200</v>
      </c>
    </row>
    <row r="121" spans="1:18" x14ac:dyDescent="0.2">
      <c r="A121">
        <v>900</v>
      </c>
      <c r="B121">
        <v>45</v>
      </c>
      <c r="C121">
        <v>50</v>
      </c>
      <c r="E121">
        <v>80</v>
      </c>
      <c r="G121">
        <v>100</v>
      </c>
      <c r="H121">
        <v>30</v>
      </c>
      <c r="J121">
        <v>5</v>
      </c>
      <c r="K121">
        <v>10</v>
      </c>
      <c r="L121">
        <v>50</v>
      </c>
      <c r="M121">
        <v>50</v>
      </c>
      <c r="N121">
        <v>25</v>
      </c>
      <c r="O121">
        <v>55</v>
      </c>
      <c r="P121">
        <v>50</v>
      </c>
      <c r="R121">
        <v>1200</v>
      </c>
    </row>
    <row r="122" spans="1:18" x14ac:dyDescent="0.2">
      <c r="A122">
        <v>1000</v>
      </c>
      <c r="B122">
        <v>19</v>
      </c>
      <c r="C122">
        <v>50</v>
      </c>
      <c r="E122">
        <v>80</v>
      </c>
      <c r="G122">
        <v>100</v>
      </c>
      <c r="H122">
        <v>200</v>
      </c>
      <c r="J122">
        <v>300</v>
      </c>
      <c r="K122">
        <v>10</v>
      </c>
      <c r="L122">
        <v>200</v>
      </c>
      <c r="M122">
        <v>100</v>
      </c>
      <c r="N122">
        <v>50</v>
      </c>
      <c r="O122">
        <v>30</v>
      </c>
      <c r="P122">
        <v>25</v>
      </c>
      <c r="R122">
        <v>1200</v>
      </c>
    </row>
    <row r="123" spans="1:18" x14ac:dyDescent="0.2">
      <c r="A123">
        <v>70</v>
      </c>
      <c r="B123">
        <v>62</v>
      </c>
      <c r="C123">
        <v>10</v>
      </c>
      <c r="E123">
        <v>150</v>
      </c>
      <c r="G123">
        <v>300</v>
      </c>
      <c r="H123">
        <v>3000</v>
      </c>
      <c r="J123">
        <v>20</v>
      </c>
      <c r="K123">
        <v>50</v>
      </c>
      <c r="L123">
        <v>50</v>
      </c>
      <c r="M123">
        <v>1000</v>
      </c>
      <c r="N123">
        <v>200</v>
      </c>
      <c r="O123">
        <v>10</v>
      </c>
      <c r="P123">
        <v>100</v>
      </c>
      <c r="R123" s="12">
        <v>1200</v>
      </c>
    </row>
    <row r="124" spans="1:18" x14ac:dyDescent="0.2">
      <c r="A124">
        <v>750</v>
      </c>
      <c r="B124">
        <v>50</v>
      </c>
      <c r="C124">
        <v>50</v>
      </c>
      <c r="E124">
        <v>100</v>
      </c>
      <c r="G124">
        <v>300</v>
      </c>
      <c r="H124">
        <v>200</v>
      </c>
      <c r="J124">
        <v>200</v>
      </c>
      <c r="K124">
        <v>10</v>
      </c>
      <c r="L124">
        <v>50</v>
      </c>
      <c r="M124">
        <v>50</v>
      </c>
      <c r="N124">
        <v>45</v>
      </c>
      <c r="O124">
        <v>20</v>
      </c>
      <c r="P124">
        <v>1200</v>
      </c>
      <c r="R124">
        <v>1100</v>
      </c>
    </row>
    <row r="125" spans="1:18" x14ac:dyDescent="0.2">
      <c r="A125">
        <v>725</v>
      </c>
      <c r="B125">
        <v>100</v>
      </c>
      <c r="C125">
        <v>30</v>
      </c>
      <c r="E125">
        <v>150</v>
      </c>
      <c r="G125">
        <v>200</v>
      </c>
      <c r="H125">
        <v>200</v>
      </c>
      <c r="J125">
        <v>30</v>
      </c>
      <c r="K125">
        <v>20</v>
      </c>
      <c r="L125">
        <v>30</v>
      </c>
      <c r="M125">
        <v>500</v>
      </c>
      <c r="O125">
        <v>20</v>
      </c>
      <c r="P125">
        <v>200</v>
      </c>
      <c r="R125">
        <v>1100</v>
      </c>
    </row>
    <row r="126" spans="1:18" x14ac:dyDescent="0.2">
      <c r="A126">
        <v>1000</v>
      </c>
      <c r="B126">
        <v>70</v>
      </c>
      <c r="C126">
        <v>15</v>
      </c>
      <c r="E126">
        <v>50</v>
      </c>
      <c r="G126">
        <v>200</v>
      </c>
      <c r="H126">
        <v>500</v>
      </c>
      <c r="J126">
        <v>100</v>
      </c>
      <c r="K126">
        <v>50</v>
      </c>
      <c r="L126">
        <v>100</v>
      </c>
      <c r="M126">
        <v>200</v>
      </c>
      <c r="O126">
        <v>20</v>
      </c>
      <c r="P126">
        <v>100</v>
      </c>
      <c r="R126">
        <v>1087</v>
      </c>
    </row>
    <row r="127" spans="1:18" x14ac:dyDescent="0.2">
      <c r="A127">
        <v>560</v>
      </c>
      <c r="B127">
        <v>15</v>
      </c>
      <c r="C127">
        <v>50</v>
      </c>
      <c r="E127">
        <v>80</v>
      </c>
      <c r="G127">
        <v>200</v>
      </c>
      <c r="H127">
        <v>50</v>
      </c>
      <c r="J127">
        <v>300</v>
      </c>
      <c r="K127">
        <v>10</v>
      </c>
      <c r="L127">
        <v>250</v>
      </c>
      <c r="M127">
        <v>100</v>
      </c>
      <c r="O127">
        <v>30</v>
      </c>
      <c r="P127">
        <v>50</v>
      </c>
      <c r="R127">
        <v>1063</v>
      </c>
    </row>
    <row r="128" spans="1:18" x14ac:dyDescent="0.2">
      <c r="A128">
        <v>830</v>
      </c>
      <c r="B128">
        <v>40</v>
      </c>
      <c r="C128">
        <v>89.99</v>
      </c>
      <c r="E128">
        <v>100</v>
      </c>
      <c r="G128">
        <v>50</v>
      </c>
      <c r="H128">
        <v>10</v>
      </c>
      <c r="J128">
        <v>10</v>
      </c>
      <c r="K128">
        <v>20</v>
      </c>
      <c r="L128">
        <v>100</v>
      </c>
      <c r="M128">
        <v>200</v>
      </c>
      <c r="O128">
        <v>100</v>
      </c>
      <c r="P128">
        <v>50</v>
      </c>
      <c r="R128">
        <v>1024</v>
      </c>
    </row>
    <row r="129" spans="1:18" x14ac:dyDescent="0.2">
      <c r="A129">
        <v>665</v>
      </c>
      <c r="B129">
        <v>100</v>
      </c>
      <c r="C129">
        <v>80</v>
      </c>
      <c r="E129">
        <v>200</v>
      </c>
      <c r="G129">
        <v>300</v>
      </c>
      <c r="H129">
        <v>250</v>
      </c>
      <c r="J129">
        <v>100</v>
      </c>
      <c r="K129">
        <v>50</v>
      </c>
      <c r="L129">
        <v>50</v>
      </c>
      <c r="M129">
        <v>1000</v>
      </c>
      <c r="O129">
        <v>10</v>
      </c>
      <c r="P129">
        <v>100</v>
      </c>
      <c r="R129">
        <v>1000</v>
      </c>
    </row>
    <row r="130" spans="1:18" x14ac:dyDescent="0.2">
      <c r="A130">
        <v>592</v>
      </c>
      <c r="B130">
        <v>30</v>
      </c>
      <c r="C130">
        <v>20</v>
      </c>
      <c r="E130">
        <v>80</v>
      </c>
      <c r="G130">
        <v>300</v>
      </c>
      <c r="H130">
        <v>150</v>
      </c>
      <c r="J130">
        <v>75</v>
      </c>
      <c r="K130">
        <v>10</v>
      </c>
      <c r="L130">
        <v>100</v>
      </c>
      <c r="M130">
        <v>150</v>
      </c>
      <c r="O130">
        <v>400</v>
      </c>
      <c r="P130">
        <v>65</v>
      </c>
      <c r="R130" s="12">
        <v>1000</v>
      </c>
    </row>
    <row r="131" spans="1:18" x14ac:dyDescent="0.2">
      <c r="A131">
        <v>850</v>
      </c>
      <c r="B131">
        <v>39</v>
      </c>
      <c r="C131">
        <v>40</v>
      </c>
      <c r="E131">
        <v>100</v>
      </c>
      <c r="G131">
        <v>400</v>
      </c>
      <c r="H131">
        <v>100</v>
      </c>
      <c r="J131">
        <v>500</v>
      </c>
      <c r="K131">
        <v>10</v>
      </c>
      <c r="L131">
        <v>100</v>
      </c>
      <c r="M131">
        <v>30</v>
      </c>
      <c r="O131">
        <v>250</v>
      </c>
      <c r="P131">
        <v>60</v>
      </c>
      <c r="R131" s="12">
        <v>1000</v>
      </c>
    </row>
    <row r="132" spans="1:18" x14ac:dyDescent="0.2">
      <c r="A132">
        <v>900</v>
      </c>
      <c r="B132">
        <v>50</v>
      </c>
      <c r="C132">
        <v>50</v>
      </c>
      <c r="E132">
        <v>200</v>
      </c>
      <c r="G132">
        <v>180</v>
      </c>
      <c r="H132">
        <v>40</v>
      </c>
      <c r="J132">
        <v>30</v>
      </c>
      <c r="K132">
        <v>5</v>
      </c>
      <c r="L132">
        <v>50</v>
      </c>
      <c r="M132">
        <v>120</v>
      </c>
      <c r="O132">
        <v>150</v>
      </c>
      <c r="P132">
        <v>500</v>
      </c>
      <c r="R132">
        <v>1000</v>
      </c>
    </row>
    <row r="133" spans="1:18" x14ac:dyDescent="0.2">
      <c r="A133">
        <v>900</v>
      </c>
      <c r="B133">
        <v>80</v>
      </c>
      <c r="C133">
        <v>35</v>
      </c>
      <c r="E133">
        <v>50</v>
      </c>
      <c r="G133">
        <v>300</v>
      </c>
      <c r="H133">
        <v>250</v>
      </c>
      <c r="J133">
        <v>50</v>
      </c>
      <c r="K133">
        <v>10</v>
      </c>
      <c r="L133">
        <v>30</v>
      </c>
      <c r="M133">
        <v>50</v>
      </c>
      <c r="O133">
        <v>100</v>
      </c>
      <c r="P133">
        <v>500</v>
      </c>
      <c r="R133">
        <v>1000</v>
      </c>
    </row>
    <row r="134" spans="1:18" x14ac:dyDescent="0.2">
      <c r="A134">
        <v>1300</v>
      </c>
      <c r="B134">
        <v>40</v>
      </c>
      <c r="C134">
        <v>25</v>
      </c>
      <c r="E134">
        <v>500</v>
      </c>
      <c r="G134">
        <v>300</v>
      </c>
      <c r="H134">
        <v>120</v>
      </c>
      <c r="J134">
        <v>30</v>
      </c>
      <c r="K134">
        <v>20</v>
      </c>
      <c r="L134">
        <v>200</v>
      </c>
      <c r="M134">
        <v>17</v>
      </c>
      <c r="O134">
        <v>30</v>
      </c>
      <c r="P134">
        <v>50</v>
      </c>
      <c r="R134">
        <v>1000</v>
      </c>
    </row>
    <row r="135" spans="1:18" x14ac:dyDescent="0.2">
      <c r="A135">
        <v>200</v>
      </c>
      <c r="B135">
        <v>141</v>
      </c>
      <c r="C135">
        <v>45</v>
      </c>
      <c r="E135">
        <v>100</v>
      </c>
      <c r="G135">
        <v>200</v>
      </c>
      <c r="H135">
        <v>300</v>
      </c>
      <c r="J135">
        <v>10</v>
      </c>
      <c r="K135">
        <v>60</v>
      </c>
      <c r="L135">
        <v>100</v>
      </c>
      <c r="M135">
        <v>15</v>
      </c>
      <c r="O135">
        <v>30</v>
      </c>
      <c r="P135">
        <v>500</v>
      </c>
      <c r="R135">
        <v>1000</v>
      </c>
    </row>
    <row r="136" spans="1:18" x14ac:dyDescent="0.2">
      <c r="A136">
        <v>2049</v>
      </c>
      <c r="B136">
        <v>30</v>
      </c>
      <c r="C136">
        <v>10</v>
      </c>
      <c r="E136">
        <v>150</v>
      </c>
      <c r="G136">
        <v>280</v>
      </c>
      <c r="H136">
        <v>75</v>
      </c>
      <c r="J136">
        <v>50</v>
      </c>
      <c r="K136">
        <v>100</v>
      </c>
      <c r="L136">
        <v>50</v>
      </c>
      <c r="M136">
        <v>100</v>
      </c>
      <c r="O136">
        <v>1000</v>
      </c>
      <c r="P136">
        <v>70</v>
      </c>
      <c r="R136">
        <v>1000</v>
      </c>
    </row>
    <row r="137" spans="1:18" x14ac:dyDescent="0.2">
      <c r="A137">
        <v>1000</v>
      </c>
      <c r="B137">
        <v>60</v>
      </c>
      <c r="C137">
        <v>100</v>
      </c>
      <c r="E137">
        <v>90</v>
      </c>
      <c r="G137">
        <v>100</v>
      </c>
      <c r="H137">
        <v>300</v>
      </c>
      <c r="J137">
        <v>50</v>
      </c>
      <c r="K137">
        <v>10</v>
      </c>
      <c r="L137">
        <v>400</v>
      </c>
      <c r="M137">
        <v>250</v>
      </c>
      <c r="O137">
        <v>100</v>
      </c>
      <c r="P137">
        <v>400</v>
      </c>
      <c r="R137">
        <v>1000</v>
      </c>
    </row>
    <row r="138" spans="1:18" x14ac:dyDescent="0.2">
      <c r="A138">
        <v>720</v>
      </c>
      <c r="B138">
        <v>45</v>
      </c>
      <c r="C138">
        <v>30</v>
      </c>
      <c r="E138">
        <v>70</v>
      </c>
      <c r="G138">
        <v>300</v>
      </c>
      <c r="H138">
        <v>100</v>
      </c>
      <c r="J138">
        <v>50</v>
      </c>
      <c r="K138">
        <v>1</v>
      </c>
      <c r="L138">
        <v>50</v>
      </c>
      <c r="M138">
        <v>200</v>
      </c>
      <c r="O138">
        <v>100</v>
      </c>
      <c r="P138">
        <v>100</v>
      </c>
      <c r="R138">
        <v>1000</v>
      </c>
    </row>
    <row r="139" spans="1:18" x14ac:dyDescent="0.2">
      <c r="A139">
        <v>560</v>
      </c>
      <c r="B139">
        <v>30</v>
      </c>
      <c r="C139">
        <v>60</v>
      </c>
      <c r="E139">
        <v>150</v>
      </c>
      <c r="G139">
        <v>100</v>
      </c>
      <c r="H139">
        <v>300</v>
      </c>
      <c r="J139">
        <v>100</v>
      </c>
      <c r="K139">
        <v>25</v>
      </c>
      <c r="L139">
        <v>250</v>
      </c>
      <c r="M139">
        <v>50</v>
      </c>
      <c r="O139">
        <v>35</v>
      </c>
      <c r="P139">
        <v>200</v>
      </c>
      <c r="R139">
        <v>1000</v>
      </c>
    </row>
    <row r="140" spans="1:18" x14ac:dyDescent="0.2">
      <c r="A140">
        <v>1000</v>
      </c>
      <c r="B140">
        <v>50</v>
      </c>
      <c r="C140">
        <v>45</v>
      </c>
      <c r="E140">
        <v>70</v>
      </c>
      <c r="G140">
        <v>300</v>
      </c>
      <c r="H140">
        <v>200</v>
      </c>
      <c r="J140">
        <v>200</v>
      </c>
      <c r="K140">
        <v>10</v>
      </c>
      <c r="L140">
        <v>100</v>
      </c>
      <c r="M140">
        <v>150</v>
      </c>
      <c r="O140">
        <v>35</v>
      </c>
      <c r="P140">
        <v>85</v>
      </c>
      <c r="R140">
        <v>1000</v>
      </c>
    </row>
    <row r="141" spans="1:18" x14ac:dyDescent="0.2">
      <c r="A141">
        <v>1200</v>
      </c>
      <c r="B141">
        <v>60</v>
      </c>
      <c r="C141">
        <v>80</v>
      </c>
      <c r="E141">
        <v>100</v>
      </c>
      <c r="G141">
        <v>200</v>
      </c>
      <c r="H141">
        <v>100</v>
      </c>
      <c r="J141">
        <v>50</v>
      </c>
      <c r="K141">
        <v>50</v>
      </c>
      <c r="L141">
        <v>150</v>
      </c>
      <c r="M141">
        <v>100</v>
      </c>
      <c r="O141">
        <v>30</v>
      </c>
      <c r="P141">
        <v>100</v>
      </c>
      <c r="R141">
        <v>1000</v>
      </c>
    </row>
    <row r="142" spans="1:18" x14ac:dyDescent="0.2">
      <c r="A142">
        <v>1100</v>
      </c>
      <c r="B142">
        <v>40</v>
      </c>
      <c r="C142">
        <v>75</v>
      </c>
      <c r="E142">
        <v>64</v>
      </c>
      <c r="G142">
        <v>200</v>
      </c>
      <c r="H142">
        <v>500</v>
      </c>
      <c r="J142">
        <v>100</v>
      </c>
      <c r="K142">
        <v>15</v>
      </c>
      <c r="L142">
        <v>20</v>
      </c>
      <c r="M142">
        <v>100</v>
      </c>
      <c r="O142">
        <v>50</v>
      </c>
      <c r="P142">
        <v>50</v>
      </c>
      <c r="R142">
        <v>1000</v>
      </c>
    </row>
    <row r="143" spans="1:18" x14ac:dyDescent="0.2">
      <c r="A143">
        <v>1200</v>
      </c>
      <c r="B143">
        <v>100</v>
      </c>
      <c r="C143">
        <v>50</v>
      </c>
      <c r="E143">
        <v>150</v>
      </c>
      <c r="G143">
        <v>250</v>
      </c>
      <c r="H143">
        <v>300</v>
      </c>
      <c r="J143">
        <v>50</v>
      </c>
      <c r="K143">
        <v>10</v>
      </c>
      <c r="L143">
        <v>50</v>
      </c>
      <c r="M143">
        <v>500</v>
      </c>
      <c r="O143">
        <v>50</v>
      </c>
      <c r="P143">
        <v>25</v>
      </c>
      <c r="R143">
        <v>1000</v>
      </c>
    </row>
    <row r="144" spans="1:18" x14ac:dyDescent="0.2">
      <c r="A144" s="12">
        <v>1000</v>
      </c>
      <c r="B144">
        <v>45</v>
      </c>
      <c r="C144">
        <v>80</v>
      </c>
      <c r="E144">
        <v>36</v>
      </c>
      <c r="G144">
        <v>150</v>
      </c>
      <c r="H144">
        <v>50</v>
      </c>
      <c r="J144">
        <v>50</v>
      </c>
      <c r="K144">
        <v>20</v>
      </c>
      <c r="L144">
        <v>100</v>
      </c>
      <c r="M144">
        <v>10</v>
      </c>
      <c r="O144">
        <v>50</v>
      </c>
      <c r="P144">
        <v>12</v>
      </c>
      <c r="R144">
        <v>1000</v>
      </c>
    </row>
    <row r="145" spans="1:18" x14ac:dyDescent="0.2">
      <c r="A145">
        <v>800</v>
      </c>
      <c r="B145">
        <v>50</v>
      </c>
      <c r="C145">
        <v>40</v>
      </c>
      <c r="E145">
        <v>80</v>
      </c>
      <c r="G145">
        <v>240</v>
      </c>
      <c r="H145">
        <v>50</v>
      </c>
      <c r="J145">
        <v>50</v>
      </c>
      <c r="K145">
        <v>20</v>
      </c>
      <c r="L145">
        <v>50</v>
      </c>
      <c r="M145">
        <v>100</v>
      </c>
      <c r="O145">
        <v>50</v>
      </c>
      <c r="P145">
        <v>1000</v>
      </c>
      <c r="R145">
        <v>1000</v>
      </c>
    </row>
    <row r="146" spans="1:18" x14ac:dyDescent="0.2">
      <c r="A146">
        <v>925</v>
      </c>
      <c r="B146">
        <v>24</v>
      </c>
      <c r="C146">
        <v>15</v>
      </c>
      <c r="E146">
        <v>45</v>
      </c>
      <c r="G146">
        <v>130</v>
      </c>
      <c r="H146">
        <v>100</v>
      </c>
      <c r="J146">
        <v>250</v>
      </c>
      <c r="K146">
        <v>30</v>
      </c>
      <c r="L146">
        <v>100</v>
      </c>
      <c r="M146">
        <v>150</v>
      </c>
      <c r="O146">
        <v>50</v>
      </c>
      <c r="P146">
        <v>300</v>
      </c>
      <c r="R146">
        <v>1000</v>
      </c>
    </row>
    <row r="147" spans="1:18" x14ac:dyDescent="0.2">
      <c r="A147">
        <v>750</v>
      </c>
      <c r="B147">
        <v>50</v>
      </c>
      <c r="C147">
        <v>100</v>
      </c>
      <c r="E147">
        <v>30</v>
      </c>
      <c r="G147">
        <v>260</v>
      </c>
      <c r="H147">
        <v>200</v>
      </c>
      <c r="J147">
        <v>200</v>
      </c>
      <c r="K147">
        <v>30</v>
      </c>
      <c r="L147">
        <v>15</v>
      </c>
      <c r="M147">
        <v>100</v>
      </c>
      <c r="O147">
        <v>50</v>
      </c>
      <c r="P147">
        <v>300</v>
      </c>
      <c r="R147">
        <v>1000</v>
      </c>
    </row>
    <row r="148" spans="1:18" x14ac:dyDescent="0.2">
      <c r="A148">
        <v>750</v>
      </c>
      <c r="B148">
        <v>35</v>
      </c>
      <c r="C148">
        <v>30</v>
      </c>
      <c r="E148">
        <v>120</v>
      </c>
      <c r="G148">
        <v>30</v>
      </c>
      <c r="H148">
        <v>35</v>
      </c>
      <c r="J148">
        <v>50</v>
      </c>
      <c r="K148">
        <v>8</v>
      </c>
      <c r="L148">
        <v>10</v>
      </c>
      <c r="M148">
        <v>200</v>
      </c>
      <c r="O148">
        <v>40</v>
      </c>
      <c r="P148">
        <v>200</v>
      </c>
      <c r="R148">
        <v>1000</v>
      </c>
    </row>
    <row r="149" spans="1:18" x14ac:dyDescent="0.2">
      <c r="A149">
        <v>869</v>
      </c>
      <c r="B149">
        <v>50</v>
      </c>
      <c r="C149">
        <v>20</v>
      </c>
      <c r="E149">
        <v>150</v>
      </c>
      <c r="G149">
        <v>300</v>
      </c>
      <c r="H149">
        <v>30</v>
      </c>
      <c r="J149">
        <v>20</v>
      </c>
      <c r="K149">
        <v>30</v>
      </c>
      <c r="L149">
        <v>300</v>
      </c>
      <c r="M149">
        <v>30</v>
      </c>
      <c r="O149">
        <v>40</v>
      </c>
      <c r="P149">
        <v>200</v>
      </c>
      <c r="R149">
        <v>1000</v>
      </c>
    </row>
    <row r="150" spans="1:18" x14ac:dyDescent="0.2">
      <c r="A150">
        <v>1400</v>
      </c>
      <c r="B150">
        <v>30</v>
      </c>
      <c r="C150">
        <v>300</v>
      </c>
      <c r="E150">
        <v>80</v>
      </c>
      <c r="G150">
        <v>300</v>
      </c>
      <c r="H150">
        <v>80</v>
      </c>
      <c r="J150">
        <v>50</v>
      </c>
      <c r="K150">
        <v>50</v>
      </c>
      <c r="L150">
        <v>25</v>
      </c>
      <c r="M150">
        <v>100</v>
      </c>
      <c r="O150">
        <v>40</v>
      </c>
      <c r="P150">
        <v>100</v>
      </c>
      <c r="R150">
        <v>1000</v>
      </c>
    </row>
    <row r="151" spans="1:18" x14ac:dyDescent="0.2">
      <c r="A151">
        <v>1250</v>
      </c>
      <c r="B151">
        <v>50</v>
      </c>
      <c r="C151">
        <v>400</v>
      </c>
      <c r="E151">
        <v>250</v>
      </c>
      <c r="G151">
        <v>200</v>
      </c>
      <c r="H151">
        <v>1000</v>
      </c>
      <c r="J151">
        <v>200</v>
      </c>
      <c r="K151">
        <v>10</v>
      </c>
      <c r="L151">
        <v>100</v>
      </c>
      <c r="M151">
        <v>2000</v>
      </c>
      <c r="O151">
        <v>70</v>
      </c>
      <c r="P151">
        <v>100</v>
      </c>
      <c r="R151">
        <v>1000</v>
      </c>
    </row>
    <row r="152" spans="1:18" x14ac:dyDescent="0.2">
      <c r="A152">
        <v>1090</v>
      </c>
      <c r="B152">
        <v>70</v>
      </c>
      <c r="C152">
        <v>60</v>
      </c>
      <c r="E152">
        <v>100</v>
      </c>
      <c r="G152">
        <v>60</v>
      </c>
      <c r="H152">
        <v>100</v>
      </c>
      <c r="J152">
        <v>45</v>
      </c>
      <c r="K152">
        <v>30</v>
      </c>
      <c r="L152">
        <v>50</v>
      </c>
      <c r="M152">
        <v>5000</v>
      </c>
      <c r="O152">
        <v>80</v>
      </c>
      <c r="P152">
        <v>66</v>
      </c>
      <c r="R152">
        <v>1000</v>
      </c>
    </row>
    <row r="153" spans="1:18" x14ac:dyDescent="0.2">
      <c r="A153">
        <v>350</v>
      </c>
      <c r="B153">
        <v>20</v>
      </c>
      <c r="C153">
        <v>100</v>
      </c>
      <c r="E153">
        <v>30</v>
      </c>
      <c r="G153">
        <v>200</v>
      </c>
      <c r="H153">
        <v>250</v>
      </c>
      <c r="J153">
        <v>50</v>
      </c>
      <c r="K153">
        <v>30</v>
      </c>
      <c r="L153">
        <v>200</v>
      </c>
      <c r="M153">
        <v>150</v>
      </c>
      <c r="O153">
        <v>80</v>
      </c>
      <c r="P153">
        <v>60</v>
      </c>
      <c r="R153">
        <v>920</v>
      </c>
    </row>
    <row r="154" spans="1:18" x14ac:dyDescent="0.2">
      <c r="A154">
        <v>4109</v>
      </c>
      <c r="B154">
        <v>20</v>
      </c>
      <c r="C154">
        <v>50</v>
      </c>
      <c r="E154">
        <v>100</v>
      </c>
      <c r="G154">
        <v>100</v>
      </c>
      <c r="H154">
        <v>50</v>
      </c>
      <c r="J154">
        <v>25</v>
      </c>
      <c r="K154">
        <v>10</v>
      </c>
      <c r="L154">
        <v>50</v>
      </c>
      <c r="M154">
        <v>100</v>
      </c>
      <c r="O154">
        <v>100</v>
      </c>
      <c r="P154">
        <v>50</v>
      </c>
      <c r="R154">
        <v>920</v>
      </c>
    </row>
    <row r="155" spans="1:18" x14ac:dyDescent="0.2">
      <c r="A155">
        <v>720</v>
      </c>
      <c r="B155">
        <v>75</v>
      </c>
      <c r="C155">
        <v>70</v>
      </c>
      <c r="E155">
        <v>100</v>
      </c>
      <c r="G155">
        <v>200</v>
      </c>
      <c r="H155">
        <v>75</v>
      </c>
      <c r="J155">
        <v>100</v>
      </c>
      <c r="K155">
        <v>10</v>
      </c>
      <c r="L155">
        <v>30</v>
      </c>
      <c r="M155">
        <v>80</v>
      </c>
      <c r="O155">
        <v>100</v>
      </c>
      <c r="P155">
        <v>50</v>
      </c>
      <c r="R155">
        <v>900</v>
      </c>
    </row>
    <row r="156" spans="1:18" x14ac:dyDescent="0.2">
      <c r="A156">
        <v>500</v>
      </c>
      <c r="B156">
        <v>70</v>
      </c>
      <c r="C156">
        <v>100</v>
      </c>
      <c r="E156">
        <v>40</v>
      </c>
      <c r="G156">
        <v>200</v>
      </c>
      <c r="H156">
        <v>200</v>
      </c>
      <c r="J156">
        <v>50</v>
      </c>
      <c r="K156">
        <v>80</v>
      </c>
      <c r="L156">
        <v>1000</v>
      </c>
      <c r="M156">
        <v>50</v>
      </c>
      <c r="O156">
        <v>30</v>
      </c>
      <c r="P156">
        <v>50</v>
      </c>
      <c r="R156">
        <v>816</v>
      </c>
    </row>
    <row r="157" spans="1:18" x14ac:dyDescent="0.2">
      <c r="A157">
        <v>1200</v>
      </c>
      <c r="B157">
        <v>330</v>
      </c>
      <c r="C157">
        <v>60</v>
      </c>
      <c r="E157">
        <v>180</v>
      </c>
      <c r="G157">
        <v>200</v>
      </c>
      <c r="H157">
        <v>50</v>
      </c>
      <c r="J157">
        <v>150</v>
      </c>
      <c r="K157">
        <v>10</v>
      </c>
      <c r="L157">
        <v>100</v>
      </c>
      <c r="M157">
        <v>100</v>
      </c>
      <c r="O157">
        <v>10</v>
      </c>
      <c r="P157">
        <v>40</v>
      </c>
      <c r="R157">
        <v>800</v>
      </c>
    </row>
    <row r="158" spans="1:18" x14ac:dyDescent="0.2">
      <c r="A158" s="12">
        <v>1200</v>
      </c>
      <c r="B158">
        <v>60</v>
      </c>
      <c r="C158">
        <v>100</v>
      </c>
      <c r="E158">
        <v>112</v>
      </c>
      <c r="G158">
        <v>300</v>
      </c>
      <c r="H158">
        <v>150</v>
      </c>
      <c r="J158">
        <v>150</v>
      </c>
      <c r="K158">
        <v>15</v>
      </c>
      <c r="L158">
        <v>50</v>
      </c>
      <c r="M158">
        <v>200</v>
      </c>
      <c r="O158">
        <v>30</v>
      </c>
      <c r="P158">
        <v>30</v>
      </c>
      <c r="R158">
        <v>800</v>
      </c>
    </row>
    <row r="159" spans="1:18" x14ac:dyDescent="0.2">
      <c r="A159">
        <v>1200</v>
      </c>
      <c r="B159">
        <v>80</v>
      </c>
      <c r="C159">
        <v>100</v>
      </c>
      <c r="E159">
        <v>60</v>
      </c>
      <c r="G159">
        <v>70</v>
      </c>
      <c r="H159">
        <v>250</v>
      </c>
      <c r="J159">
        <v>200</v>
      </c>
      <c r="K159">
        <v>25</v>
      </c>
      <c r="L159">
        <v>150</v>
      </c>
      <c r="M159">
        <v>100</v>
      </c>
      <c r="O159">
        <v>30</v>
      </c>
      <c r="P159">
        <v>100</v>
      </c>
      <c r="R159">
        <v>800</v>
      </c>
    </row>
    <row r="160" spans="1:18" x14ac:dyDescent="0.2">
      <c r="A160">
        <v>850</v>
      </c>
      <c r="B160">
        <v>200</v>
      </c>
      <c r="C160">
        <v>51</v>
      </c>
      <c r="E160">
        <v>60</v>
      </c>
      <c r="G160">
        <v>100</v>
      </c>
      <c r="H160">
        <v>100</v>
      </c>
      <c r="J160">
        <v>5</v>
      </c>
      <c r="K160">
        <v>20</v>
      </c>
      <c r="L160">
        <v>50</v>
      </c>
      <c r="M160">
        <v>20</v>
      </c>
      <c r="O160">
        <v>30</v>
      </c>
      <c r="P160">
        <v>80</v>
      </c>
      <c r="R160">
        <v>800</v>
      </c>
    </row>
    <row r="161" spans="1:18" x14ac:dyDescent="0.2">
      <c r="A161">
        <v>1400</v>
      </c>
      <c r="B161">
        <v>25</v>
      </c>
      <c r="E161">
        <v>50</v>
      </c>
      <c r="G161">
        <v>400</v>
      </c>
      <c r="H161">
        <v>80</v>
      </c>
      <c r="J161">
        <v>50</v>
      </c>
      <c r="K161">
        <v>10</v>
      </c>
      <c r="L161">
        <v>100</v>
      </c>
      <c r="M161">
        <v>100</v>
      </c>
      <c r="O161">
        <v>12</v>
      </c>
      <c r="P161">
        <v>50</v>
      </c>
      <c r="R161">
        <v>800</v>
      </c>
    </row>
    <row r="162" spans="1:18" x14ac:dyDescent="0.2">
      <c r="A162">
        <v>1000</v>
      </c>
      <c r="B162">
        <v>50</v>
      </c>
      <c r="E162">
        <v>60</v>
      </c>
      <c r="G162">
        <v>120</v>
      </c>
      <c r="H162">
        <v>40</v>
      </c>
      <c r="J162">
        <v>30</v>
      </c>
      <c r="K162">
        <v>20</v>
      </c>
      <c r="L162">
        <v>50</v>
      </c>
      <c r="M162">
        <v>100</v>
      </c>
      <c r="O162">
        <v>12</v>
      </c>
      <c r="P162">
        <v>150</v>
      </c>
      <c r="R162">
        <v>800</v>
      </c>
    </row>
    <row r="163" spans="1:18" x14ac:dyDescent="0.2">
      <c r="A163">
        <v>860</v>
      </c>
      <c r="B163">
        <v>20</v>
      </c>
      <c r="E163">
        <v>80</v>
      </c>
      <c r="G163">
        <v>60</v>
      </c>
      <c r="H163">
        <v>300</v>
      </c>
      <c r="J163">
        <v>20</v>
      </c>
      <c r="K163">
        <v>5</v>
      </c>
      <c r="L163">
        <v>150</v>
      </c>
      <c r="M163">
        <v>200</v>
      </c>
      <c r="O163">
        <v>10</v>
      </c>
      <c r="P163">
        <v>50</v>
      </c>
      <c r="R163">
        <v>800</v>
      </c>
    </row>
    <row r="164" spans="1:18" x14ac:dyDescent="0.2">
      <c r="A164">
        <v>750</v>
      </c>
      <c r="B164">
        <v>55</v>
      </c>
      <c r="E164">
        <v>70</v>
      </c>
      <c r="G164">
        <v>150</v>
      </c>
      <c r="H164">
        <v>50</v>
      </c>
      <c r="J164">
        <v>100</v>
      </c>
      <c r="K164">
        <v>100</v>
      </c>
      <c r="L164">
        <v>50</v>
      </c>
      <c r="M164">
        <v>50</v>
      </c>
      <c r="O164">
        <v>10</v>
      </c>
      <c r="P164">
        <v>50</v>
      </c>
      <c r="R164">
        <v>800</v>
      </c>
    </row>
    <row r="165" spans="1:18" x14ac:dyDescent="0.2">
      <c r="A165">
        <v>2000</v>
      </c>
      <c r="B165">
        <v>70</v>
      </c>
      <c r="E165">
        <v>100</v>
      </c>
      <c r="G165">
        <v>200</v>
      </c>
      <c r="H165">
        <v>100</v>
      </c>
      <c r="J165">
        <v>100</v>
      </c>
      <c r="K165">
        <v>10</v>
      </c>
      <c r="L165">
        <v>100</v>
      </c>
      <c r="M165">
        <v>40</v>
      </c>
      <c r="O165">
        <v>15</v>
      </c>
      <c r="P165">
        <v>65</v>
      </c>
      <c r="R165">
        <v>750</v>
      </c>
    </row>
    <row r="166" spans="1:18" x14ac:dyDescent="0.2">
      <c r="A166">
        <v>500</v>
      </c>
      <c r="B166">
        <v>70</v>
      </c>
      <c r="E166">
        <v>100</v>
      </c>
      <c r="G166">
        <v>200</v>
      </c>
      <c r="H166">
        <v>100</v>
      </c>
      <c r="J166">
        <v>50</v>
      </c>
      <c r="K166">
        <v>20</v>
      </c>
      <c r="L166">
        <v>120</v>
      </c>
      <c r="M166">
        <v>100</v>
      </c>
      <c r="O166">
        <v>20</v>
      </c>
      <c r="P166">
        <v>40</v>
      </c>
      <c r="R166">
        <v>750</v>
      </c>
    </row>
    <row r="167" spans="1:18" x14ac:dyDescent="0.2">
      <c r="A167">
        <v>1000</v>
      </c>
      <c r="B167">
        <v>75</v>
      </c>
      <c r="E167">
        <v>100</v>
      </c>
      <c r="G167">
        <v>300</v>
      </c>
      <c r="H167">
        <v>200</v>
      </c>
      <c r="J167">
        <v>20</v>
      </c>
      <c r="K167">
        <v>30</v>
      </c>
      <c r="L167">
        <v>300</v>
      </c>
      <c r="M167">
        <v>50</v>
      </c>
      <c r="O167">
        <v>20</v>
      </c>
      <c r="P167">
        <v>50</v>
      </c>
      <c r="R167">
        <v>750</v>
      </c>
    </row>
    <row r="168" spans="1:18" x14ac:dyDescent="0.2">
      <c r="A168">
        <v>1000</v>
      </c>
      <c r="B168">
        <v>60</v>
      </c>
      <c r="E168">
        <v>120</v>
      </c>
      <c r="G168">
        <v>300</v>
      </c>
      <c r="H168">
        <v>150</v>
      </c>
      <c r="J168">
        <v>100</v>
      </c>
      <c r="K168">
        <v>15</v>
      </c>
      <c r="L168">
        <v>50</v>
      </c>
      <c r="M168">
        <v>100</v>
      </c>
      <c r="O168">
        <v>8</v>
      </c>
      <c r="P168">
        <v>500</v>
      </c>
      <c r="R168">
        <v>720</v>
      </c>
    </row>
    <row r="169" spans="1:18" x14ac:dyDescent="0.2">
      <c r="A169">
        <v>700</v>
      </c>
      <c r="B169">
        <v>77</v>
      </c>
      <c r="E169">
        <v>80</v>
      </c>
      <c r="G169">
        <v>400</v>
      </c>
      <c r="H169">
        <v>50</v>
      </c>
      <c r="J169">
        <v>50</v>
      </c>
      <c r="K169">
        <v>20</v>
      </c>
      <c r="L169">
        <v>100</v>
      </c>
      <c r="M169">
        <v>200</v>
      </c>
      <c r="O169">
        <v>8</v>
      </c>
      <c r="P169">
        <v>100</v>
      </c>
      <c r="R169">
        <v>700</v>
      </c>
    </row>
    <row r="170" spans="1:18" x14ac:dyDescent="0.2">
      <c r="A170" s="12">
        <v>1250</v>
      </c>
      <c r="B170">
        <v>50</v>
      </c>
      <c r="E170">
        <v>32.5</v>
      </c>
      <c r="G170">
        <v>150</v>
      </c>
      <c r="H170">
        <v>150</v>
      </c>
      <c r="J170">
        <v>50</v>
      </c>
      <c r="K170">
        <v>50</v>
      </c>
      <c r="L170">
        <v>200</v>
      </c>
      <c r="M170">
        <v>450</v>
      </c>
      <c r="O170">
        <v>8</v>
      </c>
      <c r="P170">
        <v>100</v>
      </c>
      <c r="R170">
        <v>700</v>
      </c>
    </row>
    <row r="171" spans="1:18" x14ac:dyDescent="0.2">
      <c r="A171">
        <v>850</v>
      </c>
      <c r="B171">
        <v>40</v>
      </c>
      <c r="E171">
        <v>40</v>
      </c>
      <c r="G171">
        <v>100</v>
      </c>
      <c r="H171">
        <v>70</v>
      </c>
      <c r="J171">
        <v>20</v>
      </c>
      <c r="K171">
        <v>25</v>
      </c>
      <c r="L171">
        <v>20</v>
      </c>
      <c r="M171">
        <v>100</v>
      </c>
      <c r="O171">
        <v>24</v>
      </c>
      <c r="P171">
        <v>20</v>
      </c>
      <c r="R171">
        <v>650</v>
      </c>
    </row>
    <row r="172" spans="1:18" x14ac:dyDescent="0.2">
      <c r="A172">
        <v>1100</v>
      </c>
      <c r="B172">
        <v>25</v>
      </c>
      <c r="E172">
        <v>100</v>
      </c>
      <c r="G172">
        <v>300</v>
      </c>
      <c r="H172">
        <v>100</v>
      </c>
      <c r="J172">
        <v>50</v>
      </c>
      <c r="K172">
        <v>10</v>
      </c>
      <c r="L172">
        <v>100</v>
      </c>
      <c r="M172">
        <v>100</v>
      </c>
      <c r="O172">
        <v>20</v>
      </c>
      <c r="P172">
        <v>85</v>
      </c>
      <c r="R172">
        <v>600</v>
      </c>
    </row>
    <row r="173" spans="1:18" x14ac:dyDescent="0.2">
      <c r="A173">
        <v>200</v>
      </c>
      <c r="B173">
        <v>150</v>
      </c>
      <c r="E173">
        <v>40</v>
      </c>
      <c r="G173">
        <v>400</v>
      </c>
      <c r="H173">
        <v>50</v>
      </c>
      <c r="J173">
        <v>50</v>
      </c>
      <c r="K173">
        <v>10</v>
      </c>
      <c r="L173">
        <v>100</v>
      </c>
      <c r="M173">
        <v>100</v>
      </c>
      <c r="O173">
        <v>6</v>
      </c>
      <c r="P173">
        <v>160</v>
      </c>
      <c r="R173">
        <v>600</v>
      </c>
    </row>
    <row r="174" spans="1:18" x14ac:dyDescent="0.2">
      <c r="A174">
        <v>850</v>
      </c>
      <c r="B174">
        <v>46.21</v>
      </c>
      <c r="E174">
        <v>50</v>
      </c>
      <c r="G174">
        <v>300</v>
      </c>
      <c r="H174">
        <v>30</v>
      </c>
      <c r="J174">
        <v>100</v>
      </c>
      <c r="K174">
        <v>20</v>
      </c>
      <c r="L174">
        <v>200</v>
      </c>
      <c r="M174">
        <v>30</v>
      </c>
      <c r="O174">
        <v>6</v>
      </c>
      <c r="P174">
        <v>100</v>
      </c>
      <c r="R174">
        <v>600</v>
      </c>
    </row>
    <row r="175" spans="1:18" x14ac:dyDescent="0.2">
      <c r="A175" s="12">
        <v>1000</v>
      </c>
      <c r="B175">
        <v>40</v>
      </c>
      <c r="E175">
        <v>100</v>
      </c>
      <c r="G175">
        <v>400</v>
      </c>
      <c r="H175">
        <v>50</v>
      </c>
      <c r="J175">
        <v>20</v>
      </c>
      <c r="K175">
        <v>100</v>
      </c>
      <c r="L175">
        <v>200</v>
      </c>
      <c r="M175">
        <v>100</v>
      </c>
      <c r="O175">
        <v>5</v>
      </c>
      <c r="P175">
        <v>30</v>
      </c>
      <c r="R175">
        <v>600</v>
      </c>
    </row>
    <row r="176" spans="1:18" x14ac:dyDescent="0.2">
      <c r="A176">
        <v>500</v>
      </c>
      <c r="B176">
        <v>30</v>
      </c>
      <c r="E176">
        <v>50</v>
      </c>
      <c r="G176">
        <v>300</v>
      </c>
      <c r="H176">
        <v>100</v>
      </c>
      <c r="J176">
        <v>70</v>
      </c>
      <c r="K176">
        <v>25</v>
      </c>
      <c r="L176">
        <v>200</v>
      </c>
      <c r="M176">
        <v>100</v>
      </c>
      <c r="O176">
        <v>30</v>
      </c>
      <c r="P176">
        <v>35</v>
      </c>
      <c r="R176">
        <v>600</v>
      </c>
    </row>
    <row r="177" spans="1:18" x14ac:dyDescent="0.2">
      <c r="A177">
        <v>969</v>
      </c>
      <c r="B177">
        <v>1000</v>
      </c>
      <c r="E177">
        <v>150</v>
      </c>
      <c r="G177">
        <v>200</v>
      </c>
      <c r="H177">
        <v>200</v>
      </c>
      <c r="J177">
        <v>150</v>
      </c>
      <c r="K177">
        <v>25</v>
      </c>
      <c r="L177">
        <v>40</v>
      </c>
      <c r="M177">
        <v>200</v>
      </c>
      <c r="O177">
        <v>20</v>
      </c>
      <c r="P177">
        <v>50</v>
      </c>
      <c r="R177">
        <v>600</v>
      </c>
    </row>
    <row r="178" spans="1:18" x14ac:dyDescent="0.2">
      <c r="A178">
        <v>900</v>
      </c>
      <c r="B178">
        <v>45</v>
      </c>
      <c r="E178">
        <v>30</v>
      </c>
      <c r="G178">
        <v>100</v>
      </c>
      <c r="H178">
        <v>200</v>
      </c>
      <c r="J178">
        <v>10</v>
      </c>
      <c r="K178">
        <v>50</v>
      </c>
      <c r="L178">
        <v>25</v>
      </c>
      <c r="M178">
        <v>50</v>
      </c>
      <c r="O178">
        <v>7.99</v>
      </c>
      <c r="P178">
        <v>50</v>
      </c>
      <c r="R178">
        <v>583</v>
      </c>
    </row>
    <row r="179" spans="1:18" x14ac:dyDescent="0.2">
      <c r="A179">
        <v>1000</v>
      </c>
      <c r="B179">
        <v>50</v>
      </c>
      <c r="E179">
        <v>60</v>
      </c>
      <c r="G179">
        <v>150</v>
      </c>
      <c r="H179">
        <v>200</v>
      </c>
      <c r="J179">
        <v>25</v>
      </c>
      <c r="K179">
        <v>20</v>
      </c>
      <c r="L179">
        <v>100</v>
      </c>
      <c r="M179">
        <v>100</v>
      </c>
      <c r="O179">
        <v>25</v>
      </c>
      <c r="P179">
        <v>100</v>
      </c>
      <c r="R179">
        <v>540</v>
      </c>
    </row>
    <row r="180" spans="1:18" x14ac:dyDescent="0.2">
      <c r="A180">
        <v>1000</v>
      </c>
      <c r="B180">
        <v>100</v>
      </c>
      <c r="E180">
        <v>50</v>
      </c>
      <c r="G180">
        <v>500</v>
      </c>
      <c r="H180">
        <v>100</v>
      </c>
      <c r="J180">
        <v>100</v>
      </c>
      <c r="K180">
        <v>10</v>
      </c>
      <c r="L180">
        <v>200</v>
      </c>
      <c r="M180">
        <v>70</v>
      </c>
      <c r="O180">
        <v>23</v>
      </c>
      <c r="P180">
        <v>600</v>
      </c>
      <c r="R180">
        <v>528</v>
      </c>
    </row>
    <row r="181" spans="1:18" x14ac:dyDescent="0.2">
      <c r="A181">
        <v>1025</v>
      </c>
      <c r="B181">
        <v>45</v>
      </c>
      <c r="E181">
        <v>50</v>
      </c>
      <c r="G181">
        <v>100</v>
      </c>
      <c r="H181">
        <v>30</v>
      </c>
      <c r="J181">
        <v>100</v>
      </c>
      <c r="K181">
        <v>5</v>
      </c>
      <c r="L181">
        <v>400</v>
      </c>
      <c r="M181">
        <v>200</v>
      </c>
      <c r="O181">
        <v>20</v>
      </c>
      <c r="P181">
        <v>500</v>
      </c>
      <c r="R181">
        <v>500</v>
      </c>
    </row>
    <row r="182" spans="1:18" x14ac:dyDescent="0.2">
      <c r="A182">
        <v>850</v>
      </c>
      <c r="B182">
        <v>100</v>
      </c>
      <c r="E182">
        <v>150</v>
      </c>
      <c r="G182">
        <v>100</v>
      </c>
      <c r="H182">
        <v>20</v>
      </c>
      <c r="J182">
        <v>200</v>
      </c>
      <c r="K182">
        <v>25</v>
      </c>
      <c r="L182">
        <v>300</v>
      </c>
      <c r="M182">
        <v>75</v>
      </c>
      <c r="O182">
        <v>20</v>
      </c>
      <c r="P182">
        <v>1000</v>
      </c>
      <c r="R182">
        <v>500</v>
      </c>
    </row>
    <row r="183" spans="1:18" x14ac:dyDescent="0.2">
      <c r="A183">
        <v>955</v>
      </c>
      <c r="B183">
        <v>50</v>
      </c>
      <c r="E183">
        <v>60</v>
      </c>
      <c r="G183">
        <v>30</v>
      </c>
      <c r="H183">
        <v>100</v>
      </c>
      <c r="J183">
        <v>80</v>
      </c>
      <c r="K183">
        <v>10</v>
      </c>
      <c r="L183">
        <v>50</v>
      </c>
      <c r="M183">
        <v>150</v>
      </c>
      <c r="O183">
        <v>30</v>
      </c>
      <c r="P183">
        <v>900</v>
      </c>
      <c r="R183">
        <v>500</v>
      </c>
    </row>
    <row r="184" spans="1:18" x14ac:dyDescent="0.2">
      <c r="A184">
        <v>860</v>
      </c>
      <c r="B184">
        <v>100</v>
      </c>
      <c r="E184">
        <v>200</v>
      </c>
      <c r="G184">
        <v>100</v>
      </c>
      <c r="H184">
        <v>70</v>
      </c>
      <c r="J184">
        <v>40</v>
      </c>
      <c r="K184">
        <v>50</v>
      </c>
      <c r="L184">
        <v>100</v>
      </c>
      <c r="M184">
        <v>50</v>
      </c>
      <c r="O184">
        <v>50</v>
      </c>
      <c r="P184">
        <v>50</v>
      </c>
      <c r="R184">
        <v>500</v>
      </c>
    </row>
    <row r="185" spans="1:18" x14ac:dyDescent="0.2">
      <c r="A185">
        <v>1345</v>
      </c>
      <c r="B185">
        <v>50</v>
      </c>
      <c r="E185">
        <v>100</v>
      </c>
      <c r="G185">
        <v>70</v>
      </c>
      <c r="H185">
        <v>2400</v>
      </c>
      <c r="J185">
        <v>100</v>
      </c>
      <c r="K185">
        <v>10</v>
      </c>
      <c r="L185">
        <v>100</v>
      </c>
      <c r="M185">
        <v>1000</v>
      </c>
      <c r="O185">
        <v>50</v>
      </c>
      <c r="P185">
        <v>175</v>
      </c>
      <c r="R185">
        <v>500</v>
      </c>
    </row>
    <row r="186" spans="1:18" x14ac:dyDescent="0.2">
      <c r="A186">
        <v>1050</v>
      </c>
      <c r="B186">
        <v>25</v>
      </c>
      <c r="E186">
        <v>75</v>
      </c>
      <c r="G186">
        <v>600</v>
      </c>
      <c r="H186">
        <v>30</v>
      </c>
      <c r="J186">
        <v>25</v>
      </c>
      <c r="K186">
        <v>50</v>
      </c>
      <c r="L186">
        <v>30</v>
      </c>
      <c r="M186">
        <v>100</v>
      </c>
      <c r="O186">
        <v>100</v>
      </c>
      <c r="P186">
        <v>50</v>
      </c>
      <c r="R186">
        <v>500</v>
      </c>
    </row>
    <row r="187" spans="1:18" x14ac:dyDescent="0.2">
      <c r="A187">
        <v>1200</v>
      </c>
      <c r="B187">
        <v>100</v>
      </c>
      <c r="E187">
        <v>90</v>
      </c>
      <c r="G187">
        <v>50</v>
      </c>
      <c r="H187">
        <v>150</v>
      </c>
      <c r="J187">
        <v>15</v>
      </c>
      <c r="K187">
        <v>40</v>
      </c>
      <c r="L187">
        <v>60</v>
      </c>
      <c r="M187">
        <v>50</v>
      </c>
      <c r="O187">
        <v>150</v>
      </c>
      <c r="P187">
        <v>30</v>
      </c>
      <c r="R187">
        <v>500</v>
      </c>
    </row>
    <row r="188" spans="1:18" x14ac:dyDescent="0.2">
      <c r="A188">
        <v>1500</v>
      </c>
      <c r="B188">
        <v>20</v>
      </c>
      <c r="E188">
        <v>100</v>
      </c>
      <c r="G188">
        <v>100</v>
      </c>
      <c r="H188">
        <v>200</v>
      </c>
      <c r="J188">
        <v>75</v>
      </c>
      <c r="K188">
        <v>25</v>
      </c>
      <c r="L188">
        <v>15</v>
      </c>
      <c r="M188">
        <v>300</v>
      </c>
      <c r="O188">
        <v>50</v>
      </c>
      <c r="P188">
        <v>20</v>
      </c>
      <c r="R188">
        <v>500</v>
      </c>
    </row>
    <row r="189" spans="1:18" x14ac:dyDescent="0.2">
      <c r="A189">
        <v>860</v>
      </c>
      <c r="B189">
        <v>61</v>
      </c>
      <c r="E189">
        <v>200</v>
      </c>
      <c r="G189">
        <v>200</v>
      </c>
      <c r="H189">
        <v>200</v>
      </c>
      <c r="J189">
        <v>50</v>
      </c>
      <c r="K189">
        <v>20</v>
      </c>
      <c r="L189">
        <v>100</v>
      </c>
      <c r="M189">
        <v>80</v>
      </c>
      <c r="O189">
        <v>15</v>
      </c>
      <c r="R189">
        <v>500</v>
      </c>
    </row>
    <row r="190" spans="1:18" x14ac:dyDescent="0.2">
      <c r="A190">
        <v>500</v>
      </c>
      <c r="B190">
        <v>70</v>
      </c>
      <c r="E190">
        <v>80</v>
      </c>
      <c r="G190">
        <v>300</v>
      </c>
      <c r="H190">
        <v>60</v>
      </c>
      <c r="J190">
        <v>50</v>
      </c>
      <c r="K190">
        <v>30</v>
      </c>
      <c r="L190">
        <v>200</v>
      </c>
      <c r="M190">
        <v>250</v>
      </c>
      <c r="O190">
        <v>20</v>
      </c>
      <c r="R190">
        <v>500</v>
      </c>
    </row>
    <row r="191" spans="1:18" x14ac:dyDescent="0.2">
      <c r="A191">
        <v>941.5</v>
      </c>
      <c r="B191">
        <v>120</v>
      </c>
      <c r="E191">
        <v>70</v>
      </c>
      <c r="G191">
        <v>100</v>
      </c>
      <c r="H191">
        <v>50</v>
      </c>
      <c r="J191">
        <v>150</v>
      </c>
      <c r="K191">
        <v>20</v>
      </c>
      <c r="L191">
        <v>50</v>
      </c>
      <c r="M191">
        <v>20</v>
      </c>
      <c r="O191">
        <v>15</v>
      </c>
      <c r="R191">
        <v>500</v>
      </c>
    </row>
    <row r="192" spans="1:18" x14ac:dyDescent="0.2">
      <c r="A192">
        <v>650</v>
      </c>
      <c r="B192">
        <v>100</v>
      </c>
      <c r="E192">
        <v>100</v>
      </c>
      <c r="G192">
        <v>50</v>
      </c>
      <c r="H192">
        <v>30</v>
      </c>
      <c r="J192">
        <v>100</v>
      </c>
      <c r="K192">
        <v>30</v>
      </c>
      <c r="L192">
        <v>50</v>
      </c>
      <c r="M192">
        <v>1000</v>
      </c>
      <c r="O192">
        <v>20</v>
      </c>
      <c r="R192">
        <v>500</v>
      </c>
    </row>
    <row r="193" spans="1:18" x14ac:dyDescent="0.2">
      <c r="A193">
        <v>1200</v>
      </c>
      <c r="B193">
        <v>120</v>
      </c>
      <c r="E193">
        <v>80</v>
      </c>
      <c r="G193">
        <v>200</v>
      </c>
      <c r="H193">
        <v>50</v>
      </c>
      <c r="J193">
        <v>25</v>
      </c>
      <c r="K193">
        <v>50</v>
      </c>
      <c r="L193">
        <v>100</v>
      </c>
      <c r="M193">
        <v>100</v>
      </c>
      <c r="O193">
        <v>20</v>
      </c>
      <c r="R193">
        <v>500</v>
      </c>
    </row>
    <row r="194" spans="1:18" x14ac:dyDescent="0.2">
      <c r="A194">
        <v>600</v>
      </c>
      <c r="B194">
        <v>60</v>
      </c>
      <c r="E194">
        <v>80</v>
      </c>
      <c r="G194">
        <v>100</v>
      </c>
      <c r="H194">
        <v>100</v>
      </c>
      <c r="J194">
        <v>50</v>
      </c>
      <c r="K194">
        <v>5</v>
      </c>
      <c r="L194">
        <v>200</v>
      </c>
      <c r="M194">
        <v>250</v>
      </c>
      <c r="O194">
        <v>15</v>
      </c>
      <c r="R194">
        <v>500</v>
      </c>
    </row>
    <row r="195" spans="1:18" x14ac:dyDescent="0.2">
      <c r="A195">
        <v>1500</v>
      </c>
      <c r="B195">
        <v>50</v>
      </c>
      <c r="E195">
        <v>60</v>
      </c>
      <c r="G195">
        <v>20</v>
      </c>
      <c r="H195">
        <v>100</v>
      </c>
      <c r="J195">
        <v>20</v>
      </c>
      <c r="K195">
        <v>15</v>
      </c>
      <c r="L195">
        <v>400</v>
      </c>
      <c r="M195">
        <v>75</v>
      </c>
      <c r="O195">
        <v>100</v>
      </c>
      <c r="R195">
        <v>500</v>
      </c>
    </row>
    <row r="196" spans="1:18" x14ac:dyDescent="0.2">
      <c r="A196">
        <v>1000</v>
      </c>
      <c r="B196">
        <v>50</v>
      </c>
      <c r="E196">
        <v>300</v>
      </c>
      <c r="G196">
        <v>75</v>
      </c>
      <c r="H196">
        <v>100</v>
      </c>
      <c r="J196">
        <v>20</v>
      </c>
      <c r="K196">
        <v>40</v>
      </c>
      <c r="L196">
        <v>300</v>
      </c>
      <c r="M196">
        <v>50</v>
      </c>
      <c r="O196">
        <v>100</v>
      </c>
      <c r="R196">
        <v>500</v>
      </c>
    </row>
    <row r="197" spans="1:18" x14ac:dyDescent="0.2">
      <c r="A197">
        <v>1300</v>
      </c>
      <c r="B197">
        <v>50</v>
      </c>
      <c r="E197">
        <v>60</v>
      </c>
      <c r="G197">
        <v>100</v>
      </c>
      <c r="H197">
        <v>50</v>
      </c>
      <c r="J197">
        <v>50</v>
      </c>
      <c r="K197">
        <v>5</v>
      </c>
      <c r="L197">
        <v>150</v>
      </c>
      <c r="M197">
        <v>200</v>
      </c>
      <c r="O197">
        <v>30</v>
      </c>
      <c r="R197">
        <v>500</v>
      </c>
    </row>
    <row r="198" spans="1:18" x14ac:dyDescent="0.2">
      <c r="A198">
        <v>1000</v>
      </c>
      <c r="B198">
        <v>35</v>
      </c>
      <c r="E198">
        <v>50</v>
      </c>
      <c r="G198">
        <v>480</v>
      </c>
      <c r="H198">
        <v>80</v>
      </c>
      <c r="J198">
        <v>25</v>
      </c>
      <c r="K198">
        <v>25</v>
      </c>
      <c r="L198">
        <v>50</v>
      </c>
      <c r="M198">
        <v>100</v>
      </c>
      <c r="O198">
        <v>6</v>
      </c>
      <c r="R198">
        <v>460</v>
      </c>
    </row>
    <row r="199" spans="1:18" x14ac:dyDescent="0.2">
      <c r="A199">
        <v>950</v>
      </c>
      <c r="B199">
        <v>20</v>
      </c>
      <c r="E199">
        <v>90</v>
      </c>
      <c r="G199">
        <v>50</v>
      </c>
      <c r="H199">
        <v>50</v>
      </c>
      <c r="J199">
        <v>200</v>
      </c>
      <c r="K199">
        <v>50</v>
      </c>
      <c r="L199">
        <v>100</v>
      </c>
      <c r="M199">
        <v>30</v>
      </c>
      <c r="O199">
        <v>25</v>
      </c>
      <c r="R199">
        <v>450</v>
      </c>
    </row>
    <row r="200" spans="1:18" x14ac:dyDescent="0.2">
      <c r="A200">
        <v>600</v>
      </c>
      <c r="B200">
        <v>50</v>
      </c>
      <c r="E200">
        <v>350</v>
      </c>
      <c r="G200">
        <v>50</v>
      </c>
      <c r="H200">
        <v>70</v>
      </c>
      <c r="J200">
        <v>25</v>
      </c>
      <c r="K200">
        <v>150</v>
      </c>
      <c r="L200">
        <v>200</v>
      </c>
      <c r="M200" s="12">
        <v>1000</v>
      </c>
      <c r="O200">
        <v>50</v>
      </c>
      <c r="R200">
        <v>450</v>
      </c>
    </row>
    <row r="201" spans="1:18" x14ac:dyDescent="0.2">
      <c r="A201">
        <v>935</v>
      </c>
      <c r="B201">
        <v>50</v>
      </c>
      <c r="E201">
        <v>25</v>
      </c>
      <c r="G201">
        <v>100</v>
      </c>
      <c r="H201">
        <v>75</v>
      </c>
      <c r="J201">
        <v>40</v>
      </c>
      <c r="K201">
        <v>10</v>
      </c>
      <c r="L201">
        <v>10</v>
      </c>
      <c r="M201">
        <v>200</v>
      </c>
      <c r="O201">
        <v>40</v>
      </c>
      <c r="R201">
        <v>450</v>
      </c>
    </row>
    <row r="202" spans="1:18" x14ac:dyDescent="0.2">
      <c r="A202">
        <v>400</v>
      </c>
      <c r="B202">
        <v>60</v>
      </c>
      <c r="E202">
        <v>100</v>
      </c>
      <c r="G202">
        <v>400</v>
      </c>
      <c r="H202">
        <v>50</v>
      </c>
      <c r="J202">
        <v>200</v>
      </c>
      <c r="K202">
        <v>20</v>
      </c>
      <c r="L202">
        <v>200</v>
      </c>
      <c r="M202">
        <v>200</v>
      </c>
      <c r="O202">
        <v>10</v>
      </c>
      <c r="R202">
        <v>450</v>
      </c>
    </row>
    <row r="203" spans="1:18" x14ac:dyDescent="0.2">
      <c r="A203">
        <v>820</v>
      </c>
      <c r="B203">
        <v>100</v>
      </c>
      <c r="E203">
        <v>30</v>
      </c>
      <c r="G203">
        <v>300</v>
      </c>
      <c r="H203">
        <v>250</v>
      </c>
      <c r="J203">
        <v>15</v>
      </c>
      <c r="K203">
        <v>10</v>
      </c>
      <c r="L203">
        <v>75</v>
      </c>
      <c r="M203">
        <v>250</v>
      </c>
      <c r="O203">
        <v>25</v>
      </c>
      <c r="R203">
        <v>400</v>
      </c>
    </row>
    <row r="204" spans="1:18" x14ac:dyDescent="0.2">
      <c r="A204">
        <v>1100</v>
      </c>
      <c r="B204">
        <v>50</v>
      </c>
      <c r="E204">
        <v>40</v>
      </c>
      <c r="G204">
        <v>200</v>
      </c>
      <c r="H204">
        <v>30</v>
      </c>
      <c r="J204">
        <v>100</v>
      </c>
      <c r="K204">
        <v>20</v>
      </c>
      <c r="L204">
        <v>100</v>
      </c>
      <c r="M204">
        <v>30</v>
      </c>
      <c r="O204">
        <v>30</v>
      </c>
      <c r="R204">
        <v>400</v>
      </c>
    </row>
    <row r="205" spans="1:18" x14ac:dyDescent="0.2">
      <c r="A205">
        <v>941</v>
      </c>
      <c r="B205">
        <v>100</v>
      </c>
      <c r="E205">
        <v>80</v>
      </c>
      <c r="G205">
        <v>100</v>
      </c>
      <c r="H205">
        <v>100</v>
      </c>
      <c r="J205">
        <v>50</v>
      </c>
      <c r="K205">
        <v>25</v>
      </c>
      <c r="L205">
        <v>400</v>
      </c>
      <c r="M205">
        <v>100</v>
      </c>
      <c r="O205">
        <v>30</v>
      </c>
      <c r="R205">
        <v>400</v>
      </c>
    </row>
    <row r="206" spans="1:18" x14ac:dyDescent="0.2">
      <c r="A206">
        <v>1500</v>
      </c>
      <c r="B206">
        <v>60</v>
      </c>
      <c r="E206">
        <v>100</v>
      </c>
      <c r="G206">
        <v>400</v>
      </c>
      <c r="H206">
        <v>200</v>
      </c>
      <c r="J206">
        <v>45</v>
      </c>
      <c r="K206">
        <v>30</v>
      </c>
      <c r="L206">
        <v>400</v>
      </c>
      <c r="M206">
        <v>100</v>
      </c>
      <c r="O206">
        <v>50</v>
      </c>
      <c r="R206">
        <v>400</v>
      </c>
    </row>
    <row r="207" spans="1:18" x14ac:dyDescent="0.2">
      <c r="A207">
        <v>1000</v>
      </c>
      <c r="B207">
        <v>50</v>
      </c>
      <c r="E207">
        <v>250</v>
      </c>
      <c r="G207">
        <v>35</v>
      </c>
      <c r="H207">
        <v>100</v>
      </c>
      <c r="J207">
        <v>200</v>
      </c>
      <c r="K207">
        <v>5</v>
      </c>
      <c r="L207">
        <v>50</v>
      </c>
      <c r="M207">
        <v>100</v>
      </c>
      <c r="O207">
        <v>45</v>
      </c>
      <c r="R207">
        <v>375</v>
      </c>
    </row>
    <row r="208" spans="1:18" x14ac:dyDescent="0.2">
      <c r="A208">
        <v>1200</v>
      </c>
      <c r="B208">
        <v>20</v>
      </c>
      <c r="E208">
        <v>5</v>
      </c>
      <c r="G208">
        <v>100</v>
      </c>
      <c r="H208">
        <v>300</v>
      </c>
      <c r="J208">
        <v>100</v>
      </c>
      <c r="K208">
        <v>10</v>
      </c>
      <c r="L208">
        <v>50</v>
      </c>
      <c r="M208">
        <v>100</v>
      </c>
      <c r="O208">
        <v>300</v>
      </c>
      <c r="R208">
        <v>350</v>
      </c>
    </row>
    <row r="209" spans="1:18" x14ac:dyDescent="0.2">
      <c r="A209">
        <v>800</v>
      </c>
      <c r="B209">
        <v>150</v>
      </c>
      <c r="E209">
        <v>90</v>
      </c>
      <c r="G209">
        <v>250</v>
      </c>
      <c r="H209">
        <v>30</v>
      </c>
      <c r="J209">
        <v>50</v>
      </c>
      <c r="K209">
        <v>150</v>
      </c>
      <c r="L209">
        <v>50</v>
      </c>
      <c r="M209">
        <v>20</v>
      </c>
      <c r="O209">
        <v>20</v>
      </c>
      <c r="R209">
        <v>350</v>
      </c>
    </row>
    <row r="210" spans="1:18" x14ac:dyDescent="0.2">
      <c r="A210">
        <v>800</v>
      </c>
      <c r="B210">
        <v>35</v>
      </c>
      <c r="E210">
        <v>400</v>
      </c>
      <c r="G210">
        <v>200</v>
      </c>
      <c r="H210">
        <v>40</v>
      </c>
      <c r="J210">
        <v>100</v>
      </c>
      <c r="K210">
        <v>100</v>
      </c>
      <c r="L210">
        <v>100</v>
      </c>
      <c r="M210">
        <v>1000</v>
      </c>
      <c r="O210">
        <v>50</v>
      </c>
      <c r="R210">
        <v>300</v>
      </c>
    </row>
    <row r="211" spans="1:18" x14ac:dyDescent="0.2">
      <c r="A211">
        <v>900</v>
      </c>
      <c r="B211">
        <v>15</v>
      </c>
      <c r="E211">
        <v>100</v>
      </c>
      <c r="G211">
        <v>200</v>
      </c>
      <c r="H211">
        <v>50</v>
      </c>
      <c r="J211">
        <v>10</v>
      </c>
      <c r="K211">
        <v>10</v>
      </c>
      <c r="L211">
        <v>100</v>
      </c>
      <c r="M211">
        <v>200</v>
      </c>
      <c r="O211">
        <v>30</v>
      </c>
      <c r="R211">
        <v>300</v>
      </c>
    </row>
    <row r="212" spans="1:18" x14ac:dyDescent="0.2">
      <c r="A212">
        <v>820</v>
      </c>
      <c r="B212">
        <v>50</v>
      </c>
      <c r="E212">
        <v>30</v>
      </c>
      <c r="G212">
        <v>200</v>
      </c>
      <c r="H212">
        <v>200</v>
      </c>
      <c r="J212">
        <v>200</v>
      </c>
      <c r="K212">
        <v>25</v>
      </c>
      <c r="L212">
        <v>150</v>
      </c>
      <c r="M212">
        <v>10000</v>
      </c>
      <c r="O212">
        <v>30</v>
      </c>
      <c r="R212">
        <v>300</v>
      </c>
    </row>
    <row r="213" spans="1:18" x14ac:dyDescent="0.2">
      <c r="A213">
        <v>1000</v>
      </c>
      <c r="B213">
        <v>30</v>
      </c>
      <c r="E213">
        <v>55</v>
      </c>
      <c r="G213">
        <v>150</v>
      </c>
      <c r="H213">
        <v>150</v>
      </c>
      <c r="J213">
        <v>100</v>
      </c>
      <c r="K213">
        <v>50</v>
      </c>
      <c r="L213">
        <v>75</v>
      </c>
      <c r="M213">
        <v>260</v>
      </c>
      <c r="O213">
        <v>19</v>
      </c>
      <c r="R213">
        <v>300</v>
      </c>
    </row>
    <row r="214" spans="1:18" x14ac:dyDescent="0.2">
      <c r="A214">
        <v>400</v>
      </c>
      <c r="B214">
        <v>50</v>
      </c>
      <c r="E214">
        <v>60</v>
      </c>
      <c r="G214">
        <v>70</v>
      </c>
      <c r="H214">
        <v>150</v>
      </c>
      <c r="J214">
        <v>50</v>
      </c>
      <c r="K214">
        <v>20</v>
      </c>
      <c r="L214">
        <v>50</v>
      </c>
      <c r="M214">
        <v>2000</v>
      </c>
      <c r="O214">
        <v>20</v>
      </c>
      <c r="R214">
        <v>300</v>
      </c>
    </row>
    <row r="215" spans="1:18" x14ac:dyDescent="0.2">
      <c r="A215">
        <v>950</v>
      </c>
      <c r="B215">
        <v>90</v>
      </c>
      <c r="E215">
        <v>150</v>
      </c>
      <c r="G215">
        <v>300</v>
      </c>
      <c r="H215">
        <v>300</v>
      </c>
      <c r="J215">
        <v>200</v>
      </c>
      <c r="K215">
        <v>10</v>
      </c>
      <c r="L215">
        <v>50</v>
      </c>
      <c r="M215">
        <v>200</v>
      </c>
      <c r="O215">
        <v>6</v>
      </c>
      <c r="R215">
        <v>280</v>
      </c>
    </row>
    <row r="216" spans="1:18" x14ac:dyDescent="0.2">
      <c r="A216">
        <v>650</v>
      </c>
      <c r="B216">
        <v>100</v>
      </c>
      <c r="E216">
        <v>120</v>
      </c>
      <c r="G216">
        <v>200</v>
      </c>
      <c r="H216">
        <v>100</v>
      </c>
      <c r="J216">
        <v>20</v>
      </c>
      <c r="K216">
        <v>25</v>
      </c>
      <c r="L216">
        <v>100</v>
      </c>
      <c r="M216">
        <v>300</v>
      </c>
      <c r="O216">
        <v>29.99</v>
      </c>
      <c r="R216">
        <v>250</v>
      </c>
    </row>
    <row r="217" spans="1:18" x14ac:dyDescent="0.2">
      <c r="A217">
        <v>1059</v>
      </c>
      <c r="B217">
        <v>100</v>
      </c>
      <c r="E217">
        <v>60</v>
      </c>
      <c r="G217">
        <v>100</v>
      </c>
      <c r="H217">
        <v>25</v>
      </c>
      <c r="J217">
        <v>20</v>
      </c>
      <c r="K217">
        <v>10</v>
      </c>
      <c r="L217">
        <v>1000</v>
      </c>
      <c r="M217">
        <v>350</v>
      </c>
      <c r="O217">
        <v>10</v>
      </c>
      <c r="R217">
        <v>250</v>
      </c>
    </row>
    <row r="218" spans="1:18" x14ac:dyDescent="0.2">
      <c r="A218">
        <v>333</v>
      </c>
      <c r="B218">
        <v>90</v>
      </c>
      <c r="E218">
        <v>180</v>
      </c>
      <c r="G218">
        <v>300</v>
      </c>
      <c r="H218">
        <v>30</v>
      </c>
      <c r="J218">
        <v>10</v>
      </c>
      <c r="K218">
        <v>20</v>
      </c>
      <c r="L218">
        <v>60</v>
      </c>
      <c r="M218">
        <v>200</v>
      </c>
      <c r="O218">
        <v>12</v>
      </c>
      <c r="R218">
        <v>250</v>
      </c>
    </row>
    <row r="219" spans="1:18" x14ac:dyDescent="0.2">
      <c r="A219">
        <v>1100</v>
      </c>
      <c r="B219">
        <v>200</v>
      </c>
      <c r="E219">
        <v>100</v>
      </c>
      <c r="G219">
        <v>250</v>
      </c>
      <c r="H219">
        <v>150</v>
      </c>
      <c r="J219">
        <v>300</v>
      </c>
      <c r="K219">
        <v>100</v>
      </c>
      <c r="L219">
        <v>75</v>
      </c>
      <c r="M219">
        <v>50</v>
      </c>
      <c r="O219">
        <v>50</v>
      </c>
      <c r="R219">
        <v>250</v>
      </c>
    </row>
    <row r="220" spans="1:18" x14ac:dyDescent="0.2">
      <c r="A220">
        <v>770</v>
      </c>
      <c r="B220">
        <v>35</v>
      </c>
      <c r="E220">
        <v>120</v>
      </c>
      <c r="G220">
        <v>150</v>
      </c>
      <c r="H220">
        <v>150</v>
      </c>
      <c r="J220">
        <v>150</v>
      </c>
      <c r="K220">
        <v>10</v>
      </c>
      <c r="L220">
        <v>20</v>
      </c>
      <c r="M220">
        <v>100</v>
      </c>
      <c r="O220">
        <v>100</v>
      </c>
      <c r="R220">
        <v>200</v>
      </c>
    </row>
    <row r="221" spans="1:18" x14ac:dyDescent="0.2">
      <c r="A221">
        <v>775</v>
      </c>
      <c r="B221">
        <v>50</v>
      </c>
      <c r="E221">
        <v>120</v>
      </c>
      <c r="G221">
        <v>300</v>
      </c>
      <c r="H221">
        <v>150</v>
      </c>
      <c r="J221">
        <v>100</v>
      </c>
      <c r="K221">
        <v>50</v>
      </c>
      <c r="L221">
        <v>150</v>
      </c>
      <c r="M221">
        <v>100</v>
      </c>
      <c r="O221">
        <v>150</v>
      </c>
      <c r="R221">
        <v>200</v>
      </c>
    </row>
    <row r="222" spans="1:18" x14ac:dyDescent="0.2">
      <c r="A222">
        <v>950</v>
      </c>
      <c r="B222">
        <v>80</v>
      </c>
      <c r="E222">
        <v>120</v>
      </c>
      <c r="G222">
        <v>50</v>
      </c>
      <c r="H222">
        <v>500</v>
      </c>
      <c r="J222">
        <v>80</v>
      </c>
      <c r="K222">
        <v>15</v>
      </c>
      <c r="L222">
        <v>300</v>
      </c>
      <c r="M222">
        <v>1000</v>
      </c>
      <c r="O222">
        <v>20</v>
      </c>
      <c r="R222">
        <v>200</v>
      </c>
    </row>
    <row r="223" spans="1:18" x14ac:dyDescent="0.2">
      <c r="A223" s="13">
        <v>1166.67</v>
      </c>
      <c r="B223">
        <v>75</v>
      </c>
      <c r="E223">
        <v>100</v>
      </c>
      <c r="G223">
        <v>100</v>
      </c>
      <c r="H223">
        <v>300</v>
      </c>
      <c r="J223">
        <v>250</v>
      </c>
      <c r="K223">
        <v>15</v>
      </c>
      <c r="L223">
        <v>100</v>
      </c>
      <c r="M223">
        <v>100</v>
      </c>
      <c r="O223">
        <v>40</v>
      </c>
      <c r="R223">
        <v>200</v>
      </c>
    </row>
    <row r="224" spans="1:18" x14ac:dyDescent="0.2">
      <c r="A224">
        <v>1200</v>
      </c>
      <c r="B224">
        <v>45</v>
      </c>
      <c r="E224">
        <v>35</v>
      </c>
      <c r="G224">
        <v>200</v>
      </c>
      <c r="H224">
        <v>300</v>
      </c>
      <c r="J224">
        <v>20</v>
      </c>
      <c r="K224">
        <v>20</v>
      </c>
      <c r="L224">
        <v>20</v>
      </c>
      <c r="M224">
        <v>350</v>
      </c>
      <c r="O224">
        <v>80</v>
      </c>
      <c r="R224">
        <v>200</v>
      </c>
    </row>
    <row r="225" spans="1:18" x14ac:dyDescent="0.2">
      <c r="A225">
        <v>1000</v>
      </c>
      <c r="B225">
        <v>40</v>
      </c>
      <c r="E225">
        <v>200</v>
      </c>
      <c r="G225">
        <v>75</v>
      </c>
      <c r="H225">
        <v>40</v>
      </c>
      <c r="J225">
        <v>100</v>
      </c>
      <c r="K225">
        <v>5</v>
      </c>
      <c r="L225">
        <v>200</v>
      </c>
      <c r="M225">
        <v>100</v>
      </c>
      <c r="O225">
        <v>50</v>
      </c>
      <c r="R225">
        <v>200</v>
      </c>
    </row>
    <row r="226" spans="1:18" x14ac:dyDescent="0.2">
      <c r="A226">
        <v>1479</v>
      </c>
      <c r="B226">
        <v>45</v>
      </c>
      <c r="E226">
        <v>50</v>
      </c>
      <c r="G226">
        <v>200</v>
      </c>
      <c r="H226">
        <v>150</v>
      </c>
      <c r="J226">
        <v>20</v>
      </c>
      <c r="K226">
        <v>20</v>
      </c>
      <c r="L226">
        <v>50</v>
      </c>
      <c r="M226">
        <v>20</v>
      </c>
      <c r="O226">
        <v>50</v>
      </c>
      <c r="R226">
        <v>200</v>
      </c>
    </row>
    <row r="227" spans="1:18" x14ac:dyDescent="0.2">
      <c r="A227">
        <v>1600</v>
      </c>
      <c r="B227">
        <v>20</v>
      </c>
      <c r="E227">
        <v>100</v>
      </c>
      <c r="G227">
        <v>25</v>
      </c>
      <c r="H227">
        <v>50</v>
      </c>
      <c r="J227">
        <v>50</v>
      </c>
      <c r="K227">
        <v>40</v>
      </c>
      <c r="L227">
        <v>80</v>
      </c>
      <c r="M227">
        <v>50</v>
      </c>
      <c r="O227">
        <v>5</v>
      </c>
      <c r="R227">
        <v>200</v>
      </c>
    </row>
    <row r="228" spans="1:18" x14ac:dyDescent="0.2">
      <c r="A228">
        <v>1000</v>
      </c>
      <c r="B228">
        <v>85</v>
      </c>
      <c r="E228">
        <v>200</v>
      </c>
      <c r="G228">
        <v>250</v>
      </c>
      <c r="H228">
        <v>80</v>
      </c>
      <c r="J228">
        <v>600</v>
      </c>
      <c r="K228">
        <v>7</v>
      </c>
      <c r="L228">
        <v>100</v>
      </c>
      <c r="M228">
        <v>500</v>
      </c>
      <c r="O228">
        <v>20</v>
      </c>
      <c r="R228">
        <v>200</v>
      </c>
    </row>
    <row r="229" spans="1:18" x14ac:dyDescent="0.2">
      <c r="A229">
        <v>750</v>
      </c>
      <c r="B229">
        <v>30</v>
      </c>
      <c r="E229">
        <v>100</v>
      </c>
      <c r="G229">
        <v>100</v>
      </c>
      <c r="H229">
        <v>100</v>
      </c>
      <c r="J229">
        <v>200</v>
      </c>
      <c r="K229">
        <v>90</v>
      </c>
      <c r="L229">
        <v>100</v>
      </c>
      <c r="M229">
        <v>100</v>
      </c>
      <c r="O229">
        <v>10</v>
      </c>
      <c r="R229">
        <v>200</v>
      </c>
    </row>
    <row r="230" spans="1:18" x14ac:dyDescent="0.2">
      <c r="A230">
        <v>500</v>
      </c>
      <c r="B230">
        <v>85</v>
      </c>
      <c r="E230">
        <v>150</v>
      </c>
      <c r="G230">
        <v>250</v>
      </c>
      <c r="H230">
        <v>60</v>
      </c>
      <c r="J230">
        <v>10</v>
      </c>
      <c r="K230">
        <v>20</v>
      </c>
      <c r="L230">
        <v>100</v>
      </c>
      <c r="M230">
        <v>400</v>
      </c>
      <c r="O230">
        <v>30</v>
      </c>
      <c r="R230">
        <v>200</v>
      </c>
    </row>
    <row r="231" spans="1:18" x14ac:dyDescent="0.2">
      <c r="A231">
        <v>880</v>
      </c>
      <c r="B231">
        <v>35</v>
      </c>
      <c r="E231">
        <v>80</v>
      </c>
      <c r="G231">
        <v>400</v>
      </c>
      <c r="H231">
        <v>70</v>
      </c>
      <c r="J231">
        <v>150</v>
      </c>
      <c r="K231">
        <v>15</v>
      </c>
      <c r="L231">
        <v>25</v>
      </c>
      <c r="M231">
        <v>2000</v>
      </c>
      <c r="O231">
        <v>30</v>
      </c>
      <c r="R231">
        <v>100</v>
      </c>
    </row>
    <row r="232" spans="1:18" x14ac:dyDescent="0.2">
      <c r="A232">
        <v>700</v>
      </c>
      <c r="B232">
        <v>25</v>
      </c>
      <c r="E232">
        <v>200</v>
      </c>
      <c r="G232">
        <v>50</v>
      </c>
      <c r="H232">
        <v>100</v>
      </c>
      <c r="J232">
        <v>50</v>
      </c>
      <c r="K232">
        <v>100</v>
      </c>
      <c r="L232">
        <v>20</v>
      </c>
      <c r="M232">
        <v>100</v>
      </c>
      <c r="O232">
        <v>50</v>
      </c>
      <c r="R232">
        <v>100</v>
      </c>
    </row>
    <row r="233" spans="1:18" x14ac:dyDescent="0.2">
      <c r="A233">
        <v>1200</v>
      </c>
      <c r="B233">
        <v>50</v>
      </c>
      <c r="E233">
        <v>20</v>
      </c>
      <c r="G233">
        <v>175</v>
      </c>
      <c r="H233">
        <v>10</v>
      </c>
      <c r="J233">
        <v>100</v>
      </c>
      <c r="K233">
        <v>20</v>
      </c>
      <c r="L233">
        <v>100</v>
      </c>
      <c r="M233">
        <v>50</v>
      </c>
      <c r="O233">
        <v>50</v>
      </c>
      <c r="R233">
        <v>100</v>
      </c>
    </row>
    <row r="234" spans="1:18" x14ac:dyDescent="0.2">
      <c r="A234">
        <v>1400</v>
      </c>
      <c r="B234">
        <v>60</v>
      </c>
      <c r="E234">
        <v>75</v>
      </c>
      <c r="G234">
        <v>250</v>
      </c>
      <c r="H234">
        <v>120</v>
      </c>
      <c r="J234">
        <v>40</v>
      </c>
      <c r="K234">
        <v>20</v>
      </c>
      <c r="L234">
        <v>50</v>
      </c>
      <c r="M234">
        <v>150</v>
      </c>
      <c r="O234">
        <v>40</v>
      </c>
      <c r="R234">
        <v>100</v>
      </c>
    </row>
    <row r="235" spans="1:18" x14ac:dyDescent="0.2">
      <c r="A235">
        <v>600</v>
      </c>
      <c r="B235">
        <v>65</v>
      </c>
      <c r="E235">
        <v>150</v>
      </c>
      <c r="G235">
        <v>200</v>
      </c>
      <c r="H235">
        <v>200</v>
      </c>
      <c r="J235">
        <v>40</v>
      </c>
      <c r="K235">
        <v>5</v>
      </c>
      <c r="L235">
        <v>200</v>
      </c>
      <c r="M235">
        <v>3000</v>
      </c>
      <c r="O235">
        <v>55</v>
      </c>
      <c r="R235">
        <v>50</v>
      </c>
    </row>
    <row r="236" spans="1:18" x14ac:dyDescent="0.2">
      <c r="A236">
        <v>850</v>
      </c>
      <c r="B236">
        <v>20</v>
      </c>
      <c r="E236">
        <v>150</v>
      </c>
      <c r="G236">
        <v>65</v>
      </c>
      <c r="H236">
        <v>300</v>
      </c>
      <c r="J236">
        <v>100</v>
      </c>
      <c r="K236">
        <v>20</v>
      </c>
      <c r="L236">
        <v>50</v>
      </c>
      <c r="M236">
        <v>100</v>
      </c>
      <c r="O236">
        <v>60</v>
      </c>
      <c r="R236">
        <v>35</v>
      </c>
    </row>
    <row r="237" spans="1:18" x14ac:dyDescent="0.2">
      <c r="A237">
        <v>1100</v>
      </c>
      <c r="B237">
        <v>40</v>
      </c>
      <c r="E237">
        <v>150</v>
      </c>
      <c r="G237">
        <v>200</v>
      </c>
      <c r="H237">
        <v>100</v>
      </c>
      <c r="J237">
        <v>10</v>
      </c>
      <c r="K237">
        <v>20</v>
      </c>
      <c r="L237">
        <v>150</v>
      </c>
      <c r="M237">
        <v>150</v>
      </c>
      <c r="O237">
        <v>75</v>
      </c>
    </row>
    <row r="238" spans="1:18" x14ac:dyDescent="0.2">
      <c r="A238">
        <v>627.20000000000005</v>
      </c>
      <c r="E238">
        <v>80</v>
      </c>
      <c r="G238">
        <v>80</v>
      </c>
      <c r="H238">
        <v>100</v>
      </c>
      <c r="J238">
        <v>100</v>
      </c>
      <c r="K238">
        <v>10</v>
      </c>
      <c r="L238">
        <v>35</v>
      </c>
      <c r="M238">
        <v>100</v>
      </c>
      <c r="O238">
        <v>50</v>
      </c>
    </row>
    <row r="239" spans="1:18" x14ac:dyDescent="0.2">
      <c r="A239">
        <v>1400</v>
      </c>
      <c r="E239">
        <v>60</v>
      </c>
      <c r="G239">
        <v>200</v>
      </c>
      <c r="H239">
        <v>100</v>
      </c>
      <c r="J239">
        <v>60</v>
      </c>
      <c r="K239">
        <v>50</v>
      </c>
      <c r="L239">
        <v>500</v>
      </c>
      <c r="M239">
        <v>80</v>
      </c>
      <c r="O239">
        <v>40</v>
      </c>
    </row>
    <row r="240" spans="1:18" x14ac:dyDescent="0.2">
      <c r="A240">
        <v>1200</v>
      </c>
      <c r="E240">
        <v>75</v>
      </c>
      <c r="G240">
        <v>300</v>
      </c>
      <c r="H240">
        <v>300</v>
      </c>
      <c r="J240">
        <v>50</v>
      </c>
      <c r="K240">
        <v>20</v>
      </c>
      <c r="L240">
        <v>20</v>
      </c>
      <c r="M240">
        <v>50</v>
      </c>
      <c r="O240">
        <v>50</v>
      </c>
    </row>
    <row r="241" spans="1:15" x14ac:dyDescent="0.2">
      <c r="A241">
        <v>1000</v>
      </c>
      <c r="E241">
        <v>60</v>
      </c>
      <c r="G241">
        <v>400</v>
      </c>
      <c r="H241">
        <v>180</v>
      </c>
      <c r="J241">
        <v>75</v>
      </c>
      <c r="K241">
        <v>15</v>
      </c>
      <c r="L241">
        <v>50</v>
      </c>
      <c r="M241">
        <v>2000</v>
      </c>
      <c r="O241">
        <v>10</v>
      </c>
    </row>
    <row r="242" spans="1:15" x14ac:dyDescent="0.2">
      <c r="A242">
        <v>1000</v>
      </c>
      <c r="E242">
        <v>200</v>
      </c>
      <c r="G242">
        <v>150</v>
      </c>
      <c r="H242">
        <v>25</v>
      </c>
      <c r="J242">
        <v>40</v>
      </c>
      <c r="K242">
        <v>30</v>
      </c>
      <c r="L242">
        <v>150</v>
      </c>
      <c r="O242">
        <v>100</v>
      </c>
    </row>
    <row r="243" spans="1:15" x14ac:dyDescent="0.2">
      <c r="A243" s="12">
        <v>3000</v>
      </c>
      <c r="E243">
        <v>80</v>
      </c>
      <c r="G243">
        <v>90</v>
      </c>
      <c r="H243">
        <v>60</v>
      </c>
      <c r="J243">
        <v>50</v>
      </c>
      <c r="K243">
        <v>20</v>
      </c>
      <c r="L243">
        <v>200</v>
      </c>
      <c r="O243">
        <v>20</v>
      </c>
    </row>
    <row r="244" spans="1:15" x14ac:dyDescent="0.2">
      <c r="A244" s="12">
        <v>1200</v>
      </c>
      <c r="E244">
        <v>200</v>
      </c>
      <c r="G244">
        <v>125</v>
      </c>
      <c r="H244">
        <v>450</v>
      </c>
      <c r="J244">
        <v>100</v>
      </c>
      <c r="K244">
        <v>60</v>
      </c>
      <c r="L244">
        <v>100</v>
      </c>
      <c r="O244">
        <v>20</v>
      </c>
    </row>
    <row r="245" spans="1:15" x14ac:dyDescent="0.2">
      <c r="A245">
        <v>400</v>
      </c>
      <c r="E245">
        <v>50</v>
      </c>
      <c r="G245">
        <v>350</v>
      </c>
      <c r="H245">
        <v>200</v>
      </c>
      <c r="J245">
        <v>50</v>
      </c>
      <c r="K245">
        <v>10</v>
      </c>
      <c r="L245">
        <v>30</v>
      </c>
      <c r="O245">
        <v>100</v>
      </c>
    </row>
    <row r="246" spans="1:15" x14ac:dyDescent="0.2">
      <c r="A246">
        <v>900</v>
      </c>
      <c r="E246">
        <v>40</v>
      </c>
      <c r="G246">
        <v>280</v>
      </c>
      <c r="H246">
        <v>25</v>
      </c>
      <c r="J246">
        <v>150</v>
      </c>
      <c r="K246">
        <v>25</v>
      </c>
      <c r="L246">
        <v>350</v>
      </c>
      <c r="O246">
        <v>15</v>
      </c>
    </row>
    <row r="247" spans="1:15" x14ac:dyDescent="0.2">
      <c r="A247">
        <v>2450</v>
      </c>
      <c r="E247">
        <v>60</v>
      </c>
      <c r="G247">
        <v>400</v>
      </c>
      <c r="H247">
        <v>200</v>
      </c>
      <c r="J247">
        <v>200</v>
      </c>
      <c r="K247">
        <v>100</v>
      </c>
      <c r="L247">
        <v>100</v>
      </c>
      <c r="O247">
        <v>25</v>
      </c>
    </row>
    <row r="248" spans="1:15" x14ac:dyDescent="0.2">
      <c r="A248">
        <v>1200</v>
      </c>
      <c r="E248">
        <v>100</v>
      </c>
      <c r="G248">
        <v>30</v>
      </c>
      <c r="H248">
        <v>100</v>
      </c>
      <c r="J248">
        <v>50</v>
      </c>
      <c r="K248">
        <v>100</v>
      </c>
      <c r="L248">
        <v>120</v>
      </c>
      <c r="O248">
        <v>40</v>
      </c>
    </row>
    <row r="249" spans="1:15" x14ac:dyDescent="0.2">
      <c r="A249">
        <v>1100</v>
      </c>
      <c r="E249">
        <v>50</v>
      </c>
      <c r="G249">
        <v>30</v>
      </c>
      <c r="H249">
        <v>500</v>
      </c>
      <c r="J249">
        <v>100</v>
      </c>
      <c r="K249">
        <v>10</v>
      </c>
      <c r="L249">
        <v>500</v>
      </c>
      <c r="O249">
        <v>50</v>
      </c>
    </row>
    <row r="250" spans="1:15" x14ac:dyDescent="0.2">
      <c r="A250">
        <v>1800</v>
      </c>
      <c r="E250">
        <v>135</v>
      </c>
      <c r="G250">
        <v>500</v>
      </c>
      <c r="H250">
        <v>25</v>
      </c>
      <c r="J250">
        <v>125</v>
      </c>
      <c r="K250">
        <v>100</v>
      </c>
      <c r="L250">
        <v>150</v>
      </c>
      <c r="O250">
        <v>20</v>
      </c>
    </row>
    <row r="251" spans="1:15" x14ac:dyDescent="0.2">
      <c r="A251">
        <v>1230</v>
      </c>
      <c r="E251">
        <v>100</v>
      </c>
      <c r="G251">
        <v>250</v>
      </c>
      <c r="H251">
        <v>250</v>
      </c>
      <c r="J251">
        <v>30</v>
      </c>
      <c r="K251">
        <v>10</v>
      </c>
      <c r="L251">
        <v>200</v>
      </c>
      <c r="O251">
        <v>15</v>
      </c>
    </row>
    <row r="252" spans="1:15" x14ac:dyDescent="0.2">
      <c r="A252">
        <v>950</v>
      </c>
      <c r="E252">
        <v>60</v>
      </c>
      <c r="G252">
        <v>500</v>
      </c>
      <c r="H252">
        <v>110</v>
      </c>
      <c r="J252">
        <v>100</v>
      </c>
      <c r="K252">
        <v>30</v>
      </c>
      <c r="L252">
        <v>3</v>
      </c>
      <c r="O252">
        <v>100</v>
      </c>
    </row>
    <row r="253" spans="1:15" x14ac:dyDescent="0.2">
      <c r="A253">
        <v>980</v>
      </c>
      <c r="E253">
        <v>250</v>
      </c>
      <c r="G253">
        <v>200</v>
      </c>
      <c r="H253">
        <v>200</v>
      </c>
      <c r="J253">
        <v>200</v>
      </c>
      <c r="K253">
        <v>30</v>
      </c>
      <c r="L253">
        <v>30</v>
      </c>
      <c r="O253">
        <v>40</v>
      </c>
    </row>
    <row r="254" spans="1:15" x14ac:dyDescent="0.2">
      <c r="A254">
        <v>1200</v>
      </c>
      <c r="E254">
        <v>90</v>
      </c>
      <c r="G254">
        <v>600</v>
      </c>
      <c r="H254">
        <v>50</v>
      </c>
      <c r="J254">
        <v>50</v>
      </c>
      <c r="K254">
        <v>30</v>
      </c>
      <c r="L254">
        <v>100</v>
      </c>
      <c r="O254">
        <v>30</v>
      </c>
    </row>
    <row r="255" spans="1:15" x14ac:dyDescent="0.2">
      <c r="A255">
        <v>1250</v>
      </c>
      <c r="E255">
        <v>40</v>
      </c>
      <c r="G255">
        <v>200</v>
      </c>
      <c r="H255">
        <v>50</v>
      </c>
      <c r="J255">
        <v>50</v>
      </c>
      <c r="K255">
        <v>10</v>
      </c>
      <c r="L255">
        <v>75</v>
      </c>
      <c r="O255">
        <v>60</v>
      </c>
    </row>
    <row r="256" spans="1:15" x14ac:dyDescent="0.2">
      <c r="A256">
        <v>2800</v>
      </c>
      <c r="E256">
        <v>200</v>
      </c>
      <c r="G256">
        <v>240</v>
      </c>
      <c r="H256">
        <v>60</v>
      </c>
      <c r="J256">
        <v>40</v>
      </c>
      <c r="K256">
        <v>10</v>
      </c>
      <c r="L256">
        <v>150</v>
      </c>
      <c r="O256">
        <v>15</v>
      </c>
    </row>
    <row r="257" spans="1:15" x14ac:dyDescent="0.2">
      <c r="A257">
        <v>1100</v>
      </c>
      <c r="E257">
        <v>25</v>
      </c>
      <c r="G257">
        <v>200</v>
      </c>
      <c r="H257">
        <v>200</v>
      </c>
      <c r="J257">
        <v>140</v>
      </c>
      <c r="K257">
        <v>25</v>
      </c>
      <c r="L257">
        <v>100</v>
      </c>
      <c r="O257">
        <v>30</v>
      </c>
    </row>
    <row r="258" spans="1:15" x14ac:dyDescent="0.2">
      <c r="A258">
        <v>1100</v>
      </c>
      <c r="E258">
        <v>70</v>
      </c>
      <c r="G258">
        <v>50</v>
      </c>
      <c r="H258">
        <v>100</v>
      </c>
      <c r="J258">
        <v>50</v>
      </c>
      <c r="K258">
        <v>20</v>
      </c>
      <c r="L258">
        <v>300</v>
      </c>
      <c r="O258">
        <v>50</v>
      </c>
    </row>
    <row r="259" spans="1:15" x14ac:dyDescent="0.2">
      <c r="A259">
        <v>850</v>
      </c>
      <c r="E259">
        <v>60</v>
      </c>
      <c r="G259">
        <v>150</v>
      </c>
      <c r="H259">
        <v>50</v>
      </c>
      <c r="J259">
        <v>50</v>
      </c>
      <c r="K259">
        <v>15</v>
      </c>
      <c r="L259">
        <v>55</v>
      </c>
      <c r="O259">
        <v>100</v>
      </c>
    </row>
    <row r="260" spans="1:15" x14ac:dyDescent="0.2">
      <c r="A260">
        <v>1250</v>
      </c>
      <c r="E260">
        <v>22</v>
      </c>
      <c r="G260">
        <v>500</v>
      </c>
      <c r="H260">
        <v>100</v>
      </c>
      <c r="J260">
        <v>50</v>
      </c>
      <c r="K260">
        <v>25</v>
      </c>
      <c r="L260">
        <v>30</v>
      </c>
      <c r="O260">
        <v>100</v>
      </c>
    </row>
    <row r="261" spans="1:15" x14ac:dyDescent="0.2">
      <c r="A261">
        <v>2000</v>
      </c>
      <c r="E261">
        <v>300</v>
      </c>
      <c r="G261">
        <v>200</v>
      </c>
      <c r="H261">
        <v>100</v>
      </c>
      <c r="J261">
        <v>100</v>
      </c>
      <c r="K261">
        <v>10</v>
      </c>
      <c r="L261">
        <v>30</v>
      </c>
      <c r="O261">
        <v>10</v>
      </c>
    </row>
    <row r="262" spans="1:15" x14ac:dyDescent="0.2">
      <c r="A262">
        <v>780</v>
      </c>
      <c r="E262">
        <v>45</v>
      </c>
      <c r="G262">
        <v>100</v>
      </c>
      <c r="H262">
        <v>125</v>
      </c>
      <c r="J262">
        <v>30</v>
      </c>
      <c r="K262">
        <v>100</v>
      </c>
      <c r="L262">
        <v>30</v>
      </c>
      <c r="O262">
        <v>25</v>
      </c>
    </row>
    <row r="263" spans="1:15" x14ac:dyDescent="0.2">
      <c r="A263">
        <v>800</v>
      </c>
      <c r="E263">
        <v>70</v>
      </c>
      <c r="G263">
        <v>200</v>
      </c>
      <c r="H263">
        <v>100</v>
      </c>
      <c r="J263">
        <v>50</v>
      </c>
      <c r="K263">
        <v>5</v>
      </c>
      <c r="L263">
        <v>50</v>
      </c>
      <c r="O263">
        <v>130</v>
      </c>
    </row>
    <row r="264" spans="1:15" x14ac:dyDescent="0.2">
      <c r="A264">
        <v>1000</v>
      </c>
      <c r="E264">
        <v>80</v>
      </c>
      <c r="G264">
        <v>200</v>
      </c>
      <c r="H264">
        <v>120</v>
      </c>
      <c r="J264">
        <v>10</v>
      </c>
      <c r="K264">
        <v>30</v>
      </c>
      <c r="L264">
        <v>50</v>
      </c>
      <c r="O264">
        <v>75</v>
      </c>
    </row>
    <row r="265" spans="1:15" x14ac:dyDescent="0.2">
      <c r="A265">
        <v>625</v>
      </c>
      <c r="E265">
        <v>60</v>
      </c>
      <c r="G265">
        <v>138</v>
      </c>
      <c r="H265">
        <v>150</v>
      </c>
      <c r="J265">
        <v>15</v>
      </c>
      <c r="K265">
        <v>50</v>
      </c>
      <c r="L265">
        <v>200</v>
      </c>
      <c r="O265">
        <v>10</v>
      </c>
    </row>
    <row r="266" spans="1:15" x14ac:dyDescent="0.2">
      <c r="A266">
        <v>700</v>
      </c>
      <c r="E266">
        <v>100</v>
      </c>
      <c r="G266">
        <v>300</v>
      </c>
      <c r="H266">
        <v>100</v>
      </c>
      <c r="J266">
        <v>200</v>
      </c>
      <c r="K266">
        <v>15</v>
      </c>
      <c r="L266">
        <v>400</v>
      </c>
      <c r="O266">
        <v>20</v>
      </c>
    </row>
    <row r="267" spans="1:15" x14ac:dyDescent="0.2">
      <c r="A267">
        <v>1384</v>
      </c>
      <c r="E267">
        <v>50</v>
      </c>
      <c r="G267">
        <v>500</v>
      </c>
      <c r="H267">
        <v>100</v>
      </c>
      <c r="J267">
        <v>5</v>
      </c>
      <c r="K267">
        <v>10</v>
      </c>
      <c r="L267">
        <v>30</v>
      </c>
      <c r="O267">
        <v>200</v>
      </c>
    </row>
    <row r="268" spans="1:15" x14ac:dyDescent="0.2">
      <c r="A268">
        <v>500</v>
      </c>
      <c r="E268">
        <v>50</v>
      </c>
      <c r="G268">
        <v>200</v>
      </c>
      <c r="H268">
        <v>80</v>
      </c>
      <c r="J268">
        <v>15</v>
      </c>
      <c r="K268">
        <v>50</v>
      </c>
      <c r="L268">
        <v>45</v>
      </c>
      <c r="O268">
        <v>50</v>
      </c>
    </row>
    <row r="269" spans="1:15" x14ac:dyDescent="0.2">
      <c r="A269">
        <v>1400</v>
      </c>
      <c r="E269">
        <v>100</v>
      </c>
      <c r="G269">
        <v>50</v>
      </c>
      <c r="H269">
        <v>150</v>
      </c>
      <c r="J269">
        <v>40</v>
      </c>
      <c r="K269">
        <v>100</v>
      </c>
      <c r="L269">
        <v>80</v>
      </c>
      <c r="O269">
        <v>76</v>
      </c>
    </row>
    <row r="270" spans="1:15" x14ac:dyDescent="0.2">
      <c r="A270">
        <v>830</v>
      </c>
      <c r="E270">
        <v>60</v>
      </c>
      <c r="G270">
        <v>350</v>
      </c>
      <c r="H270">
        <v>100</v>
      </c>
      <c r="J270">
        <v>20</v>
      </c>
      <c r="K270">
        <v>10</v>
      </c>
      <c r="L270">
        <v>200</v>
      </c>
      <c r="O270">
        <v>80</v>
      </c>
    </row>
    <row r="271" spans="1:15" x14ac:dyDescent="0.2">
      <c r="A271">
        <v>1375</v>
      </c>
      <c r="E271">
        <v>60</v>
      </c>
      <c r="G271">
        <v>40</v>
      </c>
      <c r="H271">
        <v>250</v>
      </c>
      <c r="J271">
        <v>20</v>
      </c>
      <c r="K271">
        <v>10</v>
      </c>
      <c r="L271">
        <v>100</v>
      </c>
      <c r="O271">
        <v>50</v>
      </c>
    </row>
    <row r="272" spans="1:15" x14ac:dyDescent="0.2">
      <c r="A272">
        <v>1090</v>
      </c>
      <c r="E272">
        <v>65</v>
      </c>
      <c r="G272">
        <v>200</v>
      </c>
      <c r="H272">
        <v>200</v>
      </c>
      <c r="J272">
        <v>40</v>
      </c>
      <c r="K272">
        <v>20</v>
      </c>
      <c r="L272">
        <v>60</v>
      </c>
      <c r="O272">
        <v>50</v>
      </c>
    </row>
    <row r="273" spans="1:15" x14ac:dyDescent="0.2">
      <c r="A273">
        <v>900</v>
      </c>
      <c r="E273">
        <v>40</v>
      </c>
      <c r="G273">
        <v>300</v>
      </c>
      <c r="H273">
        <v>300</v>
      </c>
      <c r="J273">
        <v>20</v>
      </c>
      <c r="K273">
        <v>500</v>
      </c>
      <c r="L273">
        <v>100</v>
      </c>
      <c r="O273">
        <v>20</v>
      </c>
    </row>
    <row r="274" spans="1:15" x14ac:dyDescent="0.2">
      <c r="A274">
        <v>583</v>
      </c>
      <c r="E274">
        <v>48</v>
      </c>
      <c r="G274">
        <v>150</v>
      </c>
      <c r="H274">
        <v>100</v>
      </c>
      <c r="J274">
        <v>200</v>
      </c>
      <c r="K274">
        <v>50</v>
      </c>
      <c r="L274">
        <v>150</v>
      </c>
      <c r="O274">
        <v>30</v>
      </c>
    </row>
    <row r="275" spans="1:15" x14ac:dyDescent="0.2">
      <c r="A275">
        <v>875</v>
      </c>
      <c r="E275">
        <v>50</v>
      </c>
      <c r="G275">
        <v>150</v>
      </c>
      <c r="H275">
        <v>60</v>
      </c>
      <c r="J275">
        <v>50</v>
      </c>
      <c r="K275">
        <v>100</v>
      </c>
      <c r="L275">
        <v>50</v>
      </c>
      <c r="O275">
        <v>10</v>
      </c>
    </row>
    <row r="276" spans="1:15" x14ac:dyDescent="0.2">
      <c r="A276">
        <v>800</v>
      </c>
      <c r="E276">
        <v>75</v>
      </c>
      <c r="G276">
        <v>80</v>
      </c>
      <c r="H276">
        <v>100</v>
      </c>
      <c r="J276">
        <v>100</v>
      </c>
      <c r="K276">
        <v>70</v>
      </c>
      <c r="L276">
        <v>75</v>
      </c>
      <c r="O276">
        <v>20</v>
      </c>
    </row>
    <row r="277" spans="1:15" x14ac:dyDescent="0.2">
      <c r="A277">
        <v>1400</v>
      </c>
      <c r="E277">
        <v>100</v>
      </c>
      <c r="G277">
        <v>150</v>
      </c>
      <c r="H277">
        <v>100</v>
      </c>
      <c r="J277">
        <v>100</v>
      </c>
      <c r="K277">
        <v>30</v>
      </c>
      <c r="L277">
        <v>100</v>
      </c>
      <c r="O277">
        <v>20</v>
      </c>
    </row>
    <row r="278" spans="1:15" x14ac:dyDescent="0.2">
      <c r="A278">
        <v>980</v>
      </c>
      <c r="E278">
        <v>120</v>
      </c>
      <c r="G278">
        <v>50</v>
      </c>
      <c r="H278">
        <v>500</v>
      </c>
      <c r="J278">
        <v>15</v>
      </c>
      <c r="K278">
        <v>10</v>
      </c>
      <c r="L278">
        <v>100</v>
      </c>
      <c r="O278">
        <v>25</v>
      </c>
    </row>
    <row r="279" spans="1:15" x14ac:dyDescent="0.2">
      <c r="A279">
        <v>680</v>
      </c>
      <c r="E279">
        <v>200</v>
      </c>
      <c r="G279">
        <v>100</v>
      </c>
      <c r="H279">
        <v>200</v>
      </c>
      <c r="J279">
        <v>50</v>
      </c>
      <c r="K279">
        <v>20</v>
      </c>
      <c r="L279">
        <v>200</v>
      </c>
      <c r="O279">
        <v>50</v>
      </c>
    </row>
    <row r="280" spans="1:15" x14ac:dyDescent="0.2">
      <c r="A280">
        <v>830</v>
      </c>
      <c r="G280">
        <v>50</v>
      </c>
      <c r="H280">
        <v>75</v>
      </c>
      <c r="J280">
        <v>20</v>
      </c>
      <c r="K280">
        <v>15</v>
      </c>
      <c r="L280">
        <v>50</v>
      </c>
      <c r="O280">
        <v>10</v>
      </c>
    </row>
    <row r="281" spans="1:15" x14ac:dyDescent="0.2">
      <c r="A281">
        <v>800</v>
      </c>
      <c r="G281">
        <v>75</v>
      </c>
      <c r="H281">
        <v>200</v>
      </c>
      <c r="J281">
        <v>50</v>
      </c>
      <c r="K281">
        <v>10</v>
      </c>
      <c r="L281">
        <v>30</v>
      </c>
      <c r="O281">
        <v>7.99</v>
      </c>
    </row>
    <row r="282" spans="1:15" x14ac:dyDescent="0.2">
      <c r="A282">
        <v>1200</v>
      </c>
      <c r="G282">
        <v>100</v>
      </c>
      <c r="H282">
        <v>100</v>
      </c>
      <c r="J282">
        <v>40</v>
      </c>
      <c r="K282">
        <v>10</v>
      </c>
      <c r="L282">
        <v>100</v>
      </c>
      <c r="O282">
        <v>100</v>
      </c>
    </row>
    <row r="283" spans="1:15" x14ac:dyDescent="0.2">
      <c r="A283">
        <v>710</v>
      </c>
      <c r="G283">
        <v>400</v>
      </c>
      <c r="H283">
        <v>200</v>
      </c>
      <c r="J283">
        <v>20</v>
      </c>
      <c r="K283">
        <v>90</v>
      </c>
      <c r="L283">
        <v>200</v>
      </c>
      <c r="O283">
        <v>50</v>
      </c>
    </row>
    <row r="284" spans="1:15" x14ac:dyDescent="0.2">
      <c r="A284">
        <v>1200</v>
      </c>
      <c r="G284">
        <v>200</v>
      </c>
      <c r="H284">
        <v>100</v>
      </c>
      <c r="J284">
        <v>75</v>
      </c>
      <c r="K284">
        <v>25</v>
      </c>
      <c r="L284">
        <v>200</v>
      </c>
      <c r="O284">
        <v>100</v>
      </c>
    </row>
    <row r="285" spans="1:15" x14ac:dyDescent="0.2">
      <c r="A285">
        <v>1200</v>
      </c>
      <c r="G285">
        <v>50</v>
      </c>
      <c r="H285">
        <v>50</v>
      </c>
      <c r="J285">
        <v>45</v>
      </c>
      <c r="K285">
        <v>20</v>
      </c>
      <c r="L285">
        <v>50</v>
      </c>
      <c r="O285">
        <v>50</v>
      </c>
    </row>
    <row r="286" spans="1:15" x14ac:dyDescent="0.2">
      <c r="A286">
        <v>1250</v>
      </c>
      <c r="G286">
        <v>100</v>
      </c>
      <c r="H286">
        <v>175</v>
      </c>
      <c r="J286">
        <v>150</v>
      </c>
      <c r="K286">
        <v>20</v>
      </c>
      <c r="L286">
        <v>100</v>
      </c>
      <c r="O286">
        <v>100</v>
      </c>
    </row>
    <row r="287" spans="1:15" x14ac:dyDescent="0.2">
      <c r="A287">
        <v>1000</v>
      </c>
      <c r="G287">
        <v>100</v>
      </c>
      <c r="H287">
        <v>20</v>
      </c>
      <c r="J287">
        <v>200</v>
      </c>
      <c r="K287">
        <v>10</v>
      </c>
      <c r="L287">
        <v>50</v>
      </c>
      <c r="O287">
        <v>100</v>
      </c>
    </row>
    <row r="288" spans="1:15" x14ac:dyDescent="0.2">
      <c r="A288">
        <v>1300</v>
      </c>
      <c r="G288">
        <v>400</v>
      </c>
      <c r="H288">
        <v>250</v>
      </c>
      <c r="J288">
        <v>80</v>
      </c>
      <c r="K288">
        <v>10</v>
      </c>
      <c r="L288">
        <v>100</v>
      </c>
      <c r="O288">
        <v>10</v>
      </c>
    </row>
    <row r="289" spans="1:15" x14ac:dyDescent="0.2">
      <c r="A289" s="12">
        <v>3000</v>
      </c>
      <c r="G289">
        <v>150</v>
      </c>
      <c r="H289">
        <v>90</v>
      </c>
      <c r="J289">
        <v>40</v>
      </c>
      <c r="K289">
        <v>20</v>
      </c>
      <c r="L289">
        <v>20</v>
      </c>
      <c r="O289">
        <v>100</v>
      </c>
    </row>
    <row r="290" spans="1:15" x14ac:dyDescent="0.2">
      <c r="A290">
        <v>100</v>
      </c>
      <c r="G290">
        <v>100</v>
      </c>
      <c r="H290">
        <v>300</v>
      </c>
      <c r="J290">
        <v>50</v>
      </c>
      <c r="K290">
        <v>5</v>
      </c>
      <c r="L290">
        <v>100</v>
      </c>
    </row>
    <row r="291" spans="1:15" x14ac:dyDescent="0.2">
      <c r="A291">
        <v>708</v>
      </c>
      <c r="G291">
        <v>300</v>
      </c>
      <c r="H291">
        <v>300</v>
      </c>
      <c r="J291">
        <v>20</v>
      </c>
      <c r="K291">
        <v>20</v>
      </c>
      <c r="L291">
        <v>65</v>
      </c>
    </row>
    <row r="292" spans="1:15" x14ac:dyDescent="0.2">
      <c r="A292">
        <v>1500</v>
      </c>
      <c r="G292">
        <v>200</v>
      </c>
      <c r="H292">
        <v>300</v>
      </c>
      <c r="J292">
        <v>20</v>
      </c>
      <c r="K292">
        <v>30</v>
      </c>
      <c r="L292">
        <v>40</v>
      </c>
    </row>
    <row r="293" spans="1:15" x14ac:dyDescent="0.2">
      <c r="A293">
        <v>750</v>
      </c>
      <c r="G293">
        <v>150</v>
      </c>
      <c r="H293">
        <v>50</v>
      </c>
      <c r="J293">
        <v>150</v>
      </c>
      <c r="K293">
        <v>10</v>
      </c>
      <c r="L293">
        <v>400</v>
      </c>
    </row>
    <row r="294" spans="1:15" x14ac:dyDescent="0.2">
      <c r="A294">
        <v>815</v>
      </c>
      <c r="G294">
        <v>280</v>
      </c>
      <c r="H294">
        <v>50</v>
      </c>
      <c r="J294">
        <v>30</v>
      </c>
      <c r="K294">
        <v>20</v>
      </c>
      <c r="L294">
        <v>100</v>
      </c>
    </row>
    <row r="295" spans="1:15" x14ac:dyDescent="0.2">
      <c r="A295">
        <v>1248</v>
      </c>
      <c r="G295">
        <v>100</v>
      </c>
      <c r="H295">
        <v>300</v>
      </c>
      <c r="J295">
        <v>34</v>
      </c>
      <c r="K295">
        <v>30</v>
      </c>
      <c r="L295">
        <v>50</v>
      </c>
    </row>
    <row r="296" spans="1:15" x14ac:dyDescent="0.2">
      <c r="A296">
        <v>900</v>
      </c>
      <c r="G296">
        <v>70</v>
      </c>
      <c r="H296">
        <v>100</v>
      </c>
      <c r="J296">
        <v>70</v>
      </c>
      <c r="K296">
        <v>50</v>
      </c>
      <c r="L296">
        <v>50</v>
      </c>
    </row>
    <row r="297" spans="1:15" x14ac:dyDescent="0.2">
      <c r="A297">
        <v>550</v>
      </c>
      <c r="G297">
        <v>200</v>
      </c>
      <c r="H297">
        <v>100</v>
      </c>
      <c r="J297">
        <v>800</v>
      </c>
      <c r="K297">
        <v>10</v>
      </c>
      <c r="L297">
        <v>100</v>
      </c>
    </row>
    <row r="298" spans="1:15" x14ac:dyDescent="0.2">
      <c r="A298">
        <v>900</v>
      </c>
      <c r="G298">
        <v>100</v>
      </c>
      <c r="H298">
        <v>100</v>
      </c>
      <c r="J298">
        <v>75</v>
      </c>
      <c r="L298">
        <v>20</v>
      </c>
    </row>
    <row r="299" spans="1:15" x14ac:dyDescent="0.2">
      <c r="A299">
        <v>950</v>
      </c>
      <c r="G299">
        <v>77.739999999999995</v>
      </c>
      <c r="H299">
        <v>200</v>
      </c>
      <c r="J299">
        <v>30</v>
      </c>
      <c r="L299">
        <v>30</v>
      </c>
    </row>
    <row r="300" spans="1:15" x14ac:dyDescent="0.2">
      <c r="A300">
        <v>1100</v>
      </c>
      <c r="G300">
        <v>150</v>
      </c>
      <c r="H300">
        <v>400</v>
      </c>
      <c r="J300">
        <v>50</v>
      </c>
      <c r="L300">
        <v>100</v>
      </c>
    </row>
    <row r="301" spans="1:15" x14ac:dyDescent="0.2">
      <c r="A301">
        <v>1700</v>
      </c>
      <c r="G301">
        <v>400</v>
      </c>
      <c r="H301">
        <v>200</v>
      </c>
      <c r="J301">
        <v>100</v>
      </c>
      <c r="L301">
        <v>100</v>
      </c>
    </row>
    <row r="302" spans="1:15" x14ac:dyDescent="0.2">
      <c r="A302">
        <v>1125</v>
      </c>
      <c r="G302">
        <v>200</v>
      </c>
      <c r="H302">
        <v>300</v>
      </c>
      <c r="J302">
        <v>100</v>
      </c>
      <c r="L302">
        <v>200</v>
      </c>
    </row>
    <row r="303" spans="1:15" x14ac:dyDescent="0.2">
      <c r="A303">
        <v>4109</v>
      </c>
      <c r="G303">
        <v>350</v>
      </c>
      <c r="H303">
        <v>150</v>
      </c>
      <c r="J303">
        <v>20</v>
      </c>
      <c r="L303">
        <v>100</v>
      </c>
    </row>
    <row r="304" spans="1:15" x14ac:dyDescent="0.2">
      <c r="A304">
        <v>700</v>
      </c>
      <c r="G304">
        <v>80</v>
      </c>
      <c r="H304">
        <v>400</v>
      </c>
      <c r="J304">
        <v>20</v>
      </c>
      <c r="L304">
        <v>200</v>
      </c>
    </row>
    <row r="305" spans="1:12" x14ac:dyDescent="0.2">
      <c r="A305">
        <v>1300</v>
      </c>
      <c r="G305">
        <v>70</v>
      </c>
      <c r="H305">
        <v>50</v>
      </c>
      <c r="J305">
        <v>15</v>
      </c>
      <c r="L305">
        <v>10</v>
      </c>
    </row>
    <row r="306" spans="1:12" x14ac:dyDescent="0.2">
      <c r="A306">
        <v>595</v>
      </c>
      <c r="G306">
        <v>80</v>
      </c>
      <c r="H306">
        <v>300</v>
      </c>
      <c r="J306">
        <v>50</v>
      </c>
      <c r="L306">
        <v>300</v>
      </c>
    </row>
    <row r="307" spans="1:12" x14ac:dyDescent="0.2">
      <c r="A307">
        <v>1000</v>
      </c>
      <c r="G307">
        <v>30</v>
      </c>
      <c r="H307">
        <v>100</v>
      </c>
      <c r="J307">
        <v>500</v>
      </c>
      <c r="L307">
        <v>80</v>
      </c>
    </row>
    <row r="308" spans="1:12" x14ac:dyDescent="0.2">
      <c r="A308">
        <v>1000</v>
      </c>
      <c r="G308">
        <v>70</v>
      </c>
      <c r="H308">
        <v>100</v>
      </c>
      <c r="J308">
        <v>150</v>
      </c>
      <c r="L308">
        <v>100</v>
      </c>
    </row>
    <row r="309" spans="1:12" x14ac:dyDescent="0.2">
      <c r="A309">
        <v>719</v>
      </c>
      <c r="G309">
        <v>800</v>
      </c>
      <c r="H309">
        <v>75</v>
      </c>
      <c r="J309">
        <v>120</v>
      </c>
      <c r="L309">
        <v>10</v>
      </c>
    </row>
    <row r="310" spans="1:12" x14ac:dyDescent="0.2">
      <c r="A310">
        <v>2000</v>
      </c>
      <c r="G310">
        <v>200</v>
      </c>
      <c r="H310">
        <v>400</v>
      </c>
      <c r="J310">
        <v>500</v>
      </c>
      <c r="L310">
        <v>100</v>
      </c>
    </row>
    <row r="311" spans="1:12" x14ac:dyDescent="0.2">
      <c r="A311">
        <v>1400</v>
      </c>
      <c r="G311">
        <v>400</v>
      </c>
      <c r="H311">
        <v>150</v>
      </c>
      <c r="J311">
        <v>30</v>
      </c>
      <c r="L311">
        <v>75</v>
      </c>
    </row>
    <row r="312" spans="1:12" x14ac:dyDescent="0.2">
      <c r="A312">
        <v>1600</v>
      </c>
      <c r="G312">
        <v>200</v>
      </c>
      <c r="H312">
        <v>200</v>
      </c>
      <c r="J312">
        <v>50</v>
      </c>
      <c r="L312">
        <v>100</v>
      </c>
    </row>
    <row r="313" spans="1:12" x14ac:dyDescent="0.2">
      <c r="A313">
        <v>1044</v>
      </c>
      <c r="G313">
        <v>200</v>
      </c>
      <c r="H313">
        <v>250</v>
      </c>
      <c r="J313">
        <v>20</v>
      </c>
      <c r="L313">
        <v>300</v>
      </c>
    </row>
    <row r="314" spans="1:12" x14ac:dyDescent="0.2">
      <c r="A314">
        <v>1044</v>
      </c>
      <c r="G314">
        <v>400</v>
      </c>
      <c r="H314">
        <v>50</v>
      </c>
      <c r="J314">
        <v>50</v>
      </c>
      <c r="L314">
        <v>50</v>
      </c>
    </row>
    <row r="315" spans="1:12" x14ac:dyDescent="0.2">
      <c r="A315">
        <v>1200</v>
      </c>
      <c r="G315">
        <v>100</v>
      </c>
      <c r="H315">
        <v>120</v>
      </c>
      <c r="J315">
        <v>20</v>
      </c>
      <c r="L315">
        <v>25</v>
      </c>
    </row>
    <row r="316" spans="1:12" x14ac:dyDescent="0.2">
      <c r="A316" s="12">
        <v>1110</v>
      </c>
      <c r="G316">
        <v>400</v>
      </c>
      <c r="H316">
        <v>200</v>
      </c>
      <c r="J316">
        <v>300</v>
      </c>
      <c r="L316">
        <v>100</v>
      </c>
    </row>
    <row r="317" spans="1:12" x14ac:dyDescent="0.2">
      <c r="A317">
        <v>900</v>
      </c>
      <c r="G317">
        <v>100</v>
      </c>
      <c r="H317">
        <v>300</v>
      </c>
      <c r="J317">
        <v>100</v>
      </c>
      <c r="L317">
        <v>100</v>
      </c>
    </row>
    <row r="318" spans="1:12" x14ac:dyDescent="0.2">
      <c r="A318">
        <v>1050</v>
      </c>
      <c r="G318">
        <v>100</v>
      </c>
      <c r="H318">
        <v>200</v>
      </c>
      <c r="J318">
        <v>200</v>
      </c>
      <c r="L318">
        <v>25</v>
      </c>
    </row>
    <row r="319" spans="1:12" x14ac:dyDescent="0.2">
      <c r="A319">
        <v>350</v>
      </c>
      <c r="G319">
        <v>100</v>
      </c>
      <c r="H319">
        <v>70</v>
      </c>
      <c r="J319">
        <v>50</v>
      </c>
      <c r="L319">
        <v>50</v>
      </c>
    </row>
    <row r="320" spans="1:12" x14ac:dyDescent="0.2">
      <c r="A320">
        <v>650</v>
      </c>
      <c r="G320">
        <v>200</v>
      </c>
      <c r="H320">
        <v>100</v>
      </c>
      <c r="J320">
        <v>400</v>
      </c>
      <c r="L320">
        <v>30</v>
      </c>
    </row>
    <row r="321" spans="1:12" x14ac:dyDescent="0.2">
      <c r="A321">
        <v>1700</v>
      </c>
      <c r="G321">
        <v>50</v>
      </c>
      <c r="H321">
        <v>400</v>
      </c>
      <c r="J321">
        <v>100</v>
      </c>
      <c r="L321">
        <v>300</v>
      </c>
    </row>
    <row r="322" spans="1:12" x14ac:dyDescent="0.2">
      <c r="A322">
        <v>700</v>
      </c>
      <c r="G322">
        <v>100</v>
      </c>
      <c r="H322">
        <v>60</v>
      </c>
      <c r="J322">
        <v>100</v>
      </c>
      <c r="L322">
        <v>200</v>
      </c>
    </row>
    <row r="323" spans="1:12" x14ac:dyDescent="0.2">
      <c r="A323" s="13">
        <v>1289.25</v>
      </c>
      <c r="G323">
        <v>400</v>
      </c>
      <c r="H323">
        <v>200</v>
      </c>
      <c r="J323">
        <v>50</v>
      </c>
      <c r="L323">
        <v>40</v>
      </c>
    </row>
    <row r="324" spans="1:12" x14ac:dyDescent="0.2">
      <c r="A324">
        <v>1000</v>
      </c>
      <c r="G324">
        <v>280</v>
      </c>
      <c r="H324">
        <v>50</v>
      </c>
      <c r="J324">
        <v>30</v>
      </c>
      <c r="L324">
        <v>100</v>
      </c>
    </row>
    <row r="325" spans="1:12" x14ac:dyDescent="0.2">
      <c r="A325">
        <v>1200</v>
      </c>
      <c r="G325">
        <v>175</v>
      </c>
      <c r="H325">
        <v>50</v>
      </c>
      <c r="J325">
        <v>100</v>
      </c>
      <c r="L325">
        <v>150</v>
      </c>
    </row>
    <row r="326" spans="1:12" x14ac:dyDescent="0.2">
      <c r="A326">
        <v>1100</v>
      </c>
      <c r="G326">
        <v>100</v>
      </c>
      <c r="H326">
        <v>300</v>
      </c>
      <c r="J326">
        <v>30</v>
      </c>
      <c r="L326">
        <v>50</v>
      </c>
    </row>
    <row r="327" spans="1:12" x14ac:dyDescent="0.2">
      <c r="A327">
        <v>4262</v>
      </c>
      <c r="G327">
        <v>200</v>
      </c>
      <c r="H327">
        <v>100</v>
      </c>
      <c r="J327">
        <v>50</v>
      </c>
      <c r="L327">
        <v>100</v>
      </c>
    </row>
    <row r="328" spans="1:12" x14ac:dyDescent="0.2">
      <c r="A328">
        <v>1000</v>
      </c>
      <c r="G328">
        <v>75</v>
      </c>
      <c r="H328">
        <v>200</v>
      </c>
      <c r="J328">
        <v>100</v>
      </c>
      <c r="L328">
        <v>25</v>
      </c>
    </row>
    <row r="329" spans="1:12" x14ac:dyDescent="0.2">
      <c r="A329">
        <v>780</v>
      </c>
      <c r="G329">
        <v>400</v>
      </c>
      <c r="H329">
        <v>133</v>
      </c>
      <c r="J329">
        <v>20</v>
      </c>
      <c r="L329">
        <v>30</v>
      </c>
    </row>
    <row r="330" spans="1:12" x14ac:dyDescent="0.2">
      <c r="A330">
        <v>850</v>
      </c>
      <c r="G330">
        <v>500</v>
      </c>
      <c r="H330">
        <v>50</v>
      </c>
      <c r="J330">
        <v>150</v>
      </c>
      <c r="L330">
        <v>100</v>
      </c>
    </row>
    <row r="331" spans="1:12" x14ac:dyDescent="0.2">
      <c r="A331">
        <v>700</v>
      </c>
      <c r="G331">
        <v>150</v>
      </c>
      <c r="H331">
        <v>300</v>
      </c>
      <c r="L331">
        <v>200</v>
      </c>
    </row>
    <row r="332" spans="1:12" x14ac:dyDescent="0.2">
      <c r="A332">
        <v>1000</v>
      </c>
      <c r="G332">
        <v>400</v>
      </c>
      <c r="H332">
        <v>200</v>
      </c>
      <c r="L332">
        <v>250</v>
      </c>
    </row>
    <row r="333" spans="1:12" x14ac:dyDescent="0.2">
      <c r="A333">
        <v>750</v>
      </c>
      <c r="G333">
        <v>250</v>
      </c>
      <c r="H333">
        <v>300</v>
      </c>
      <c r="L333">
        <v>50</v>
      </c>
    </row>
    <row r="334" spans="1:12" x14ac:dyDescent="0.2">
      <c r="A334" s="12">
        <v>1100</v>
      </c>
      <c r="G334">
        <v>20</v>
      </c>
      <c r="H334">
        <v>75</v>
      </c>
      <c r="L334">
        <v>150</v>
      </c>
    </row>
    <row r="335" spans="1:12" x14ac:dyDescent="0.2">
      <c r="A335">
        <v>300</v>
      </c>
      <c r="G335">
        <v>200</v>
      </c>
      <c r="H335">
        <v>150</v>
      </c>
      <c r="L335">
        <v>70</v>
      </c>
    </row>
    <row r="336" spans="1:12" x14ac:dyDescent="0.2">
      <c r="A336">
        <v>1600</v>
      </c>
      <c r="G336">
        <v>200</v>
      </c>
      <c r="H336">
        <v>150</v>
      </c>
      <c r="L336">
        <v>20</v>
      </c>
    </row>
    <row r="337" spans="1:12" x14ac:dyDescent="0.2">
      <c r="A337">
        <v>1150</v>
      </c>
      <c r="G337">
        <v>60</v>
      </c>
      <c r="H337">
        <v>50</v>
      </c>
      <c r="L337">
        <v>200</v>
      </c>
    </row>
    <row r="338" spans="1:12" x14ac:dyDescent="0.2">
      <c r="A338">
        <v>1000</v>
      </c>
      <c r="G338">
        <v>450</v>
      </c>
      <c r="H338">
        <v>150</v>
      </c>
      <c r="L338">
        <v>200</v>
      </c>
    </row>
    <row r="339" spans="1:12" x14ac:dyDescent="0.2">
      <c r="A339">
        <v>979</v>
      </c>
      <c r="G339">
        <v>100</v>
      </c>
      <c r="H339">
        <v>10</v>
      </c>
      <c r="L339">
        <v>50</v>
      </c>
    </row>
    <row r="340" spans="1:12" x14ac:dyDescent="0.2">
      <c r="A340">
        <v>900</v>
      </c>
      <c r="G340">
        <v>300</v>
      </c>
      <c r="H340">
        <v>120</v>
      </c>
      <c r="L340">
        <v>50</v>
      </c>
    </row>
    <row r="341" spans="1:12" x14ac:dyDescent="0.2">
      <c r="A341">
        <v>1295</v>
      </c>
      <c r="G341">
        <v>200</v>
      </c>
      <c r="H341">
        <v>50</v>
      </c>
      <c r="L341">
        <v>50</v>
      </c>
    </row>
    <row r="342" spans="1:12" x14ac:dyDescent="0.2">
      <c r="A342">
        <v>700</v>
      </c>
      <c r="G342">
        <v>400</v>
      </c>
      <c r="H342">
        <v>200</v>
      </c>
      <c r="L342">
        <v>150</v>
      </c>
    </row>
    <row r="343" spans="1:12" x14ac:dyDescent="0.2">
      <c r="A343">
        <v>1200</v>
      </c>
      <c r="G343">
        <v>300</v>
      </c>
      <c r="H343">
        <v>150</v>
      </c>
      <c r="L343">
        <v>40</v>
      </c>
    </row>
    <row r="344" spans="1:12" x14ac:dyDescent="0.2">
      <c r="A344">
        <v>650</v>
      </c>
      <c r="G344">
        <v>200</v>
      </c>
      <c r="H344">
        <v>200</v>
      </c>
      <c r="L344">
        <v>150</v>
      </c>
    </row>
    <row r="345" spans="1:12" x14ac:dyDescent="0.2">
      <c r="A345">
        <v>700</v>
      </c>
      <c r="G345">
        <v>200</v>
      </c>
      <c r="H345">
        <v>160</v>
      </c>
      <c r="L345">
        <v>200</v>
      </c>
    </row>
    <row r="346" spans="1:12" x14ac:dyDescent="0.2">
      <c r="A346">
        <v>800</v>
      </c>
      <c r="G346">
        <v>100</v>
      </c>
      <c r="H346">
        <v>100</v>
      </c>
      <c r="L346">
        <v>50</v>
      </c>
    </row>
    <row r="347" spans="1:12" x14ac:dyDescent="0.2">
      <c r="A347">
        <v>910</v>
      </c>
      <c r="G347">
        <v>150</v>
      </c>
      <c r="H347">
        <v>100</v>
      </c>
      <c r="L347">
        <v>50</v>
      </c>
    </row>
    <row r="348" spans="1:12" x14ac:dyDescent="0.2">
      <c r="A348">
        <v>2300</v>
      </c>
      <c r="G348">
        <v>100</v>
      </c>
      <c r="H348">
        <v>100</v>
      </c>
      <c r="L348">
        <v>25</v>
      </c>
    </row>
    <row r="349" spans="1:12" x14ac:dyDescent="0.2">
      <c r="A349">
        <v>889</v>
      </c>
      <c r="G349">
        <v>100</v>
      </c>
      <c r="H349">
        <v>100</v>
      </c>
      <c r="L349">
        <v>20</v>
      </c>
    </row>
    <row r="350" spans="1:12" x14ac:dyDescent="0.2">
      <c r="A350">
        <v>1200</v>
      </c>
      <c r="G350">
        <v>100</v>
      </c>
      <c r="H350">
        <v>600</v>
      </c>
      <c r="L350">
        <v>150</v>
      </c>
    </row>
    <row r="351" spans="1:12" x14ac:dyDescent="0.2">
      <c r="A351">
        <v>889</v>
      </c>
      <c r="G351">
        <v>120</v>
      </c>
      <c r="H351">
        <v>200</v>
      </c>
      <c r="L351">
        <v>200</v>
      </c>
    </row>
    <row r="352" spans="1:12" x14ac:dyDescent="0.2">
      <c r="A352">
        <v>830</v>
      </c>
      <c r="G352">
        <v>300</v>
      </c>
      <c r="H352">
        <v>200</v>
      </c>
      <c r="L352">
        <v>50</v>
      </c>
    </row>
    <row r="353" spans="1:12" x14ac:dyDescent="0.2">
      <c r="A353">
        <v>1700</v>
      </c>
      <c r="G353">
        <v>50</v>
      </c>
      <c r="H353">
        <v>120</v>
      </c>
      <c r="L353">
        <v>30</v>
      </c>
    </row>
    <row r="354" spans="1:12" x14ac:dyDescent="0.2">
      <c r="A354">
        <v>1200</v>
      </c>
      <c r="G354">
        <v>100</v>
      </c>
      <c r="H354">
        <v>150</v>
      </c>
      <c r="L354">
        <v>50</v>
      </c>
    </row>
    <row r="355" spans="1:12" x14ac:dyDescent="0.2">
      <c r="A355">
        <v>1000</v>
      </c>
      <c r="G355">
        <v>200</v>
      </c>
      <c r="H355">
        <v>150</v>
      </c>
      <c r="L355">
        <v>200</v>
      </c>
    </row>
    <row r="356" spans="1:12" x14ac:dyDescent="0.2">
      <c r="A356">
        <v>630</v>
      </c>
      <c r="G356">
        <v>50</v>
      </c>
      <c r="H356">
        <v>150</v>
      </c>
      <c r="L356">
        <v>100</v>
      </c>
    </row>
    <row r="357" spans="1:12" x14ac:dyDescent="0.2">
      <c r="G357">
        <v>200</v>
      </c>
      <c r="H357">
        <v>100</v>
      </c>
      <c r="L357">
        <v>50</v>
      </c>
    </row>
    <row r="358" spans="1:12" x14ac:dyDescent="0.2">
      <c r="G358">
        <v>400</v>
      </c>
      <c r="H358">
        <v>100</v>
      </c>
      <c r="L358">
        <v>150</v>
      </c>
    </row>
    <row r="359" spans="1:12" x14ac:dyDescent="0.2">
      <c r="G359">
        <v>250</v>
      </c>
      <c r="H359">
        <v>100</v>
      </c>
      <c r="L359">
        <v>100</v>
      </c>
    </row>
    <row r="360" spans="1:12" x14ac:dyDescent="0.2">
      <c r="G360">
        <v>50</v>
      </c>
      <c r="H360">
        <v>50</v>
      </c>
      <c r="L360">
        <v>50</v>
      </c>
    </row>
    <row r="361" spans="1:12" x14ac:dyDescent="0.2">
      <c r="G361">
        <v>60</v>
      </c>
      <c r="H361">
        <v>100</v>
      </c>
      <c r="L361">
        <v>100</v>
      </c>
    </row>
    <row r="362" spans="1:12" x14ac:dyDescent="0.2">
      <c r="G362">
        <v>50</v>
      </c>
      <c r="H362">
        <v>45</v>
      </c>
      <c r="L362">
        <v>100</v>
      </c>
    </row>
    <row r="363" spans="1:12" x14ac:dyDescent="0.2">
      <c r="G363">
        <v>150</v>
      </c>
      <c r="H363">
        <v>50</v>
      </c>
      <c r="L363">
        <v>60</v>
      </c>
    </row>
    <row r="364" spans="1:12" x14ac:dyDescent="0.2">
      <c r="G364">
        <v>125</v>
      </c>
      <c r="H364">
        <v>500</v>
      </c>
      <c r="L364">
        <v>50</v>
      </c>
    </row>
    <row r="365" spans="1:12" x14ac:dyDescent="0.2">
      <c r="G365">
        <v>140</v>
      </c>
      <c r="H365">
        <v>200</v>
      </c>
      <c r="L365">
        <v>150</v>
      </c>
    </row>
    <row r="366" spans="1:12" x14ac:dyDescent="0.2">
      <c r="G366">
        <v>150</v>
      </c>
      <c r="H366">
        <v>100</v>
      </c>
      <c r="L366">
        <v>60</v>
      </c>
    </row>
    <row r="367" spans="1:12" x14ac:dyDescent="0.2">
      <c r="G367">
        <v>600</v>
      </c>
      <c r="H367">
        <v>700</v>
      </c>
      <c r="L367">
        <v>20</v>
      </c>
    </row>
    <row r="368" spans="1:12" x14ac:dyDescent="0.2">
      <c r="G368">
        <v>400</v>
      </c>
      <c r="H368">
        <v>50</v>
      </c>
      <c r="L368">
        <v>100</v>
      </c>
    </row>
    <row r="369" spans="7:12" x14ac:dyDescent="0.2">
      <c r="G369">
        <v>300</v>
      </c>
      <c r="H369">
        <v>250</v>
      </c>
      <c r="L369">
        <v>150</v>
      </c>
    </row>
    <row r="370" spans="7:12" x14ac:dyDescent="0.2">
      <c r="G370">
        <v>350</v>
      </c>
      <c r="H370">
        <v>100</v>
      </c>
      <c r="L370">
        <v>30</v>
      </c>
    </row>
    <row r="371" spans="7:12" x14ac:dyDescent="0.2">
      <c r="G371">
        <v>300</v>
      </c>
      <c r="H371">
        <v>50</v>
      </c>
      <c r="L371">
        <v>50</v>
      </c>
    </row>
    <row r="372" spans="7:12" x14ac:dyDescent="0.2">
      <c r="G372">
        <v>100</v>
      </c>
      <c r="H372">
        <v>80</v>
      </c>
      <c r="L372">
        <v>100</v>
      </c>
    </row>
    <row r="373" spans="7:12" x14ac:dyDescent="0.2">
      <c r="G373">
        <v>100</v>
      </c>
      <c r="H373">
        <v>195</v>
      </c>
      <c r="L373">
        <v>30</v>
      </c>
    </row>
    <row r="374" spans="7:12" x14ac:dyDescent="0.2">
      <c r="G374">
        <v>400</v>
      </c>
      <c r="H374">
        <v>200</v>
      </c>
      <c r="L374">
        <v>50</v>
      </c>
    </row>
    <row r="375" spans="7:12" x14ac:dyDescent="0.2">
      <c r="G375">
        <v>400</v>
      </c>
      <c r="H375">
        <v>60</v>
      </c>
      <c r="L375">
        <v>100</v>
      </c>
    </row>
    <row r="376" spans="7:12" x14ac:dyDescent="0.2">
      <c r="G376">
        <v>250</v>
      </c>
      <c r="H376">
        <v>75</v>
      </c>
      <c r="L376">
        <v>1000</v>
      </c>
    </row>
    <row r="377" spans="7:12" x14ac:dyDescent="0.2">
      <c r="G377">
        <v>250</v>
      </c>
      <c r="H377">
        <v>100</v>
      </c>
      <c r="L377">
        <v>800</v>
      </c>
    </row>
    <row r="378" spans="7:12" x14ac:dyDescent="0.2">
      <c r="G378">
        <v>300</v>
      </c>
      <c r="H378">
        <v>200</v>
      </c>
      <c r="L378">
        <v>500</v>
      </c>
    </row>
    <row r="379" spans="7:12" x14ac:dyDescent="0.2">
      <c r="G379">
        <v>250</v>
      </c>
      <c r="H379">
        <v>150</v>
      </c>
      <c r="L379">
        <v>500</v>
      </c>
    </row>
    <row r="380" spans="7:12" x14ac:dyDescent="0.2">
      <c r="G380">
        <v>250</v>
      </c>
      <c r="H380">
        <v>50</v>
      </c>
      <c r="L380">
        <v>300</v>
      </c>
    </row>
    <row r="381" spans="7:12" x14ac:dyDescent="0.2">
      <c r="G381">
        <v>70</v>
      </c>
      <c r="H381">
        <v>60</v>
      </c>
      <c r="L381">
        <v>100</v>
      </c>
    </row>
    <row r="382" spans="7:12" x14ac:dyDescent="0.2">
      <c r="G382">
        <v>400</v>
      </c>
      <c r="H382">
        <v>100</v>
      </c>
      <c r="L382">
        <v>100</v>
      </c>
    </row>
    <row r="383" spans="7:12" x14ac:dyDescent="0.2">
      <c r="G383">
        <v>250</v>
      </c>
      <c r="H383">
        <v>75</v>
      </c>
      <c r="L383">
        <v>70</v>
      </c>
    </row>
    <row r="384" spans="7:12" x14ac:dyDescent="0.2">
      <c r="G384">
        <v>200</v>
      </c>
      <c r="H384">
        <v>500</v>
      </c>
      <c r="L384">
        <v>70</v>
      </c>
    </row>
    <row r="385" spans="7:12" x14ac:dyDescent="0.2">
      <c r="G385">
        <v>500</v>
      </c>
      <c r="H385">
        <v>300</v>
      </c>
      <c r="L385">
        <v>50</v>
      </c>
    </row>
    <row r="386" spans="7:12" x14ac:dyDescent="0.2">
      <c r="G386">
        <v>500</v>
      </c>
      <c r="H386">
        <v>100</v>
      </c>
      <c r="L386">
        <v>20</v>
      </c>
    </row>
    <row r="387" spans="7:12" x14ac:dyDescent="0.2">
      <c r="G387">
        <v>400</v>
      </c>
      <c r="H387">
        <v>700</v>
      </c>
    </row>
    <row r="388" spans="7:12" x14ac:dyDescent="0.2">
      <c r="G388">
        <v>500</v>
      </c>
      <c r="H388">
        <v>50</v>
      </c>
    </row>
    <row r="389" spans="7:12" x14ac:dyDescent="0.2">
      <c r="G389">
        <v>100</v>
      </c>
      <c r="H389">
        <v>150</v>
      </c>
    </row>
    <row r="390" spans="7:12" x14ac:dyDescent="0.2">
      <c r="G390">
        <v>150</v>
      </c>
      <c r="H390">
        <v>400</v>
      </c>
    </row>
    <row r="391" spans="7:12" x14ac:dyDescent="0.2">
      <c r="G391">
        <v>50</v>
      </c>
      <c r="H391">
        <v>100</v>
      </c>
    </row>
    <row r="392" spans="7:12" x14ac:dyDescent="0.2">
      <c r="H392">
        <v>300</v>
      </c>
    </row>
    <row r="393" spans="7:12" x14ac:dyDescent="0.2">
      <c r="H393">
        <v>150</v>
      </c>
    </row>
    <row r="394" spans="7:12" x14ac:dyDescent="0.2">
      <c r="H394">
        <v>400</v>
      </c>
    </row>
    <row r="395" spans="7:12" x14ac:dyDescent="0.2">
      <c r="H395">
        <v>200</v>
      </c>
    </row>
    <row r="396" spans="7:12" x14ac:dyDescent="0.2">
      <c r="H396">
        <v>150</v>
      </c>
    </row>
    <row r="397" spans="7:12" x14ac:dyDescent="0.2">
      <c r="H397">
        <v>100</v>
      </c>
    </row>
    <row r="398" spans="7:12" x14ac:dyDescent="0.2">
      <c r="H398">
        <v>50</v>
      </c>
    </row>
    <row r="399" spans="7:12" x14ac:dyDescent="0.2">
      <c r="H399">
        <v>50</v>
      </c>
    </row>
    <row r="400" spans="7:12" x14ac:dyDescent="0.2">
      <c r="H400">
        <v>15</v>
      </c>
    </row>
  </sheetData>
  <autoFilter ref="A1:R40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showGridLines="0" zoomScale="112" zoomScaleNormal="112" zoomScalePageLayoutView="200" workbookViewId="0">
      <selection activeCell="E8" sqref="E8:F25"/>
    </sheetView>
  </sheetViews>
  <sheetFormatPr baseColWidth="10" defaultColWidth="11" defaultRowHeight="16" x14ac:dyDescent="0.2"/>
  <cols>
    <col min="1" max="1" width="29.6640625" bestFit="1" customWidth="1"/>
    <col min="2" max="2" width="22.6640625" customWidth="1"/>
    <col min="3" max="3" width="17.1640625" customWidth="1"/>
    <col min="4" max="4" width="13.6640625" customWidth="1"/>
    <col min="5" max="5" width="19.5" customWidth="1"/>
    <col min="6" max="6" width="18.1640625" customWidth="1"/>
    <col min="11" max="11" width="15.1640625" customWidth="1"/>
    <col min="12" max="12" width="13.1640625" customWidth="1"/>
  </cols>
  <sheetData>
    <row r="1" spans="1:12" x14ac:dyDescent="0.2">
      <c r="A1" t="s">
        <v>4</v>
      </c>
    </row>
    <row r="2" spans="1:12" ht="17" thickBot="1" x14ac:dyDescent="0.25"/>
    <row r="3" spans="1:12" x14ac:dyDescent="0.2">
      <c r="B3" s="7" t="s">
        <v>7</v>
      </c>
      <c r="C3" s="18">
        <f>SUM(B8:B24)</f>
        <v>4664.284947360461</v>
      </c>
    </row>
    <row r="4" spans="1:12" ht="17" thickBot="1" x14ac:dyDescent="0.25">
      <c r="A4" s="5"/>
      <c r="B4" s="8" t="s">
        <v>9</v>
      </c>
      <c r="C4" s="9">
        <f>SUM(C8:C24)</f>
        <v>1775</v>
      </c>
    </row>
    <row r="5" spans="1:12" ht="17" thickBot="1" x14ac:dyDescent="0.25">
      <c r="A5" s="5"/>
      <c r="B5" s="6" t="s">
        <v>6</v>
      </c>
      <c r="C5" s="19">
        <f>C3-C4</f>
        <v>2889.284947360461</v>
      </c>
    </row>
    <row r="7" spans="1:12" x14ac:dyDescent="0.2">
      <c r="A7" s="4" t="s">
        <v>1</v>
      </c>
      <c r="B7" s="10" t="s">
        <v>7</v>
      </c>
      <c r="C7" s="4" t="s">
        <v>8</v>
      </c>
      <c r="E7" t="s">
        <v>10</v>
      </c>
    </row>
    <row r="8" spans="1:12" x14ac:dyDescent="0.2">
      <c r="A8" s="1" t="s">
        <v>29</v>
      </c>
      <c r="B8" s="15">
        <f>AVERAGE('Class Budget Data'!A:A)</f>
        <v>1022.6545633802817</v>
      </c>
      <c r="C8" s="1">
        <v>850</v>
      </c>
      <c r="E8" s="3" t="s">
        <v>3</v>
      </c>
      <c r="F8" s="4" t="s">
        <v>9</v>
      </c>
      <c r="H8" s="3" t="s">
        <v>3</v>
      </c>
      <c r="I8" s="4" t="s">
        <v>9</v>
      </c>
    </row>
    <row r="9" spans="1:12" x14ac:dyDescent="0.2">
      <c r="A9" s="1" t="s">
        <v>16</v>
      </c>
      <c r="B9" s="15">
        <f>AVERAGE('Class Budget Data'!B:B)</f>
        <v>67.92885593220339</v>
      </c>
      <c r="C9" s="1">
        <v>10</v>
      </c>
      <c r="E9" s="1" t="s">
        <v>17</v>
      </c>
      <c r="F9" s="1">
        <v>0</v>
      </c>
      <c r="H9" s="1" t="s">
        <v>40</v>
      </c>
      <c r="I9" s="1">
        <v>0</v>
      </c>
      <c r="K9" t="s">
        <v>14</v>
      </c>
    </row>
    <row r="10" spans="1:12" x14ac:dyDescent="0.2">
      <c r="A10" s="1" t="s">
        <v>17</v>
      </c>
      <c r="B10" s="15">
        <f>AVERAGE('Class Budget Data'!C:C)</f>
        <v>55.688616352201258</v>
      </c>
      <c r="C10" s="1">
        <v>0</v>
      </c>
      <c r="E10" s="1" t="s">
        <v>18</v>
      </c>
      <c r="F10" s="1">
        <v>0</v>
      </c>
      <c r="H10" s="1" t="s">
        <v>12</v>
      </c>
      <c r="I10" s="1">
        <v>50</v>
      </c>
      <c r="K10" t="s">
        <v>13</v>
      </c>
    </row>
    <row r="11" spans="1:12" x14ac:dyDescent="0.2">
      <c r="A11" s="1" t="s">
        <v>18</v>
      </c>
      <c r="B11" s="15">
        <f>AVERAGE('Class Budget Data'!D:D)</f>
        <v>514.91700000000003</v>
      </c>
      <c r="C11" s="1">
        <v>0</v>
      </c>
      <c r="E11" s="1" t="s">
        <v>30</v>
      </c>
      <c r="F11" s="1">
        <v>0</v>
      </c>
      <c r="H11" s="1" t="s">
        <v>45</v>
      </c>
      <c r="I11" s="1">
        <v>100</v>
      </c>
      <c r="K11" s="1" t="s">
        <v>34</v>
      </c>
      <c r="L11" s="1">
        <f>VLOOKUP(K11,H9:I25,2,FALSE)</f>
        <v>300</v>
      </c>
    </row>
    <row r="12" spans="1:12" x14ac:dyDescent="0.2">
      <c r="A12" s="1" t="s">
        <v>11</v>
      </c>
      <c r="B12" s="15">
        <f>AVERAGE('Class Budget Data'!E:E)</f>
        <v>101.03330935251799</v>
      </c>
      <c r="C12" s="1">
        <v>100</v>
      </c>
      <c r="E12" s="1" t="s">
        <v>21</v>
      </c>
      <c r="F12" s="1">
        <v>0</v>
      </c>
      <c r="H12" s="1" t="s">
        <v>35</v>
      </c>
      <c r="I12" s="1">
        <v>100</v>
      </c>
    </row>
    <row r="13" spans="1:12" x14ac:dyDescent="0.2">
      <c r="A13" s="1" t="s">
        <v>30</v>
      </c>
      <c r="B13" s="15">
        <f>AVERAGE('Class Budget Data'!F:F)</f>
        <v>68.022727272727266</v>
      </c>
      <c r="C13" s="1">
        <v>0</v>
      </c>
      <c r="E13" s="1" t="s">
        <v>23</v>
      </c>
      <c r="F13" s="1">
        <v>0</v>
      </c>
      <c r="H13" s="1" t="s">
        <v>0</v>
      </c>
      <c r="I13" s="1">
        <v>100</v>
      </c>
    </row>
    <row r="14" spans="1:12" x14ac:dyDescent="0.2">
      <c r="A14" s="1" t="s">
        <v>19</v>
      </c>
      <c r="B14" s="15">
        <f>AVERAGE('Class Budget Data'!G:G)</f>
        <v>209.80189743589742</v>
      </c>
      <c r="C14" s="1">
        <v>100</v>
      </c>
      <c r="E14" s="1" t="s">
        <v>24</v>
      </c>
      <c r="F14" s="1">
        <v>0</v>
      </c>
      <c r="H14" s="1" t="s">
        <v>37</v>
      </c>
      <c r="I14" s="1">
        <v>850</v>
      </c>
    </row>
    <row r="15" spans="1:12" x14ac:dyDescent="0.2">
      <c r="A15" s="1" t="s">
        <v>20</v>
      </c>
      <c r="B15" s="15">
        <f>AVERAGE('Class Budget Data'!H:H)</f>
        <v>180.14285714285714</v>
      </c>
      <c r="C15" s="1">
        <v>250</v>
      </c>
      <c r="E15" s="1" t="s">
        <v>25</v>
      </c>
      <c r="F15" s="1">
        <v>0</v>
      </c>
      <c r="H15" s="1" t="s">
        <v>33</v>
      </c>
      <c r="I15" s="1">
        <v>0</v>
      </c>
    </row>
    <row r="16" spans="1:12" x14ac:dyDescent="0.2">
      <c r="A16" s="1" t="s">
        <v>21</v>
      </c>
      <c r="B16" s="15">
        <f>AVERAGE('Class Budget Data'!I:I)</f>
        <v>500</v>
      </c>
      <c r="C16" s="1">
        <v>0</v>
      </c>
      <c r="E16" s="1" t="s">
        <v>27</v>
      </c>
      <c r="F16" s="1">
        <v>0</v>
      </c>
      <c r="H16" s="1" t="s">
        <v>36</v>
      </c>
      <c r="I16" s="1">
        <v>0</v>
      </c>
    </row>
    <row r="17" spans="1:9" x14ac:dyDescent="0.2">
      <c r="A17" s="1" t="s">
        <v>22</v>
      </c>
      <c r="B17" s="15">
        <f>AVERAGE('Class Budget Data'!J:J)</f>
        <v>91.130699088145903</v>
      </c>
      <c r="C17" s="1">
        <v>50</v>
      </c>
      <c r="E17" s="1" t="s">
        <v>16</v>
      </c>
      <c r="F17" s="1">
        <v>10</v>
      </c>
      <c r="H17" s="1" t="s">
        <v>38</v>
      </c>
      <c r="I17" s="1">
        <v>0</v>
      </c>
    </row>
    <row r="18" spans="1:9" x14ac:dyDescent="0.2">
      <c r="A18" s="1" t="s">
        <v>23</v>
      </c>
      <c r="B18" s="15">
        <f>AVERAGE('Class Budget Data'!K:K)</f>
        <v>34.674831081081081</v>
      </c>
      <c r="C18" s="1">
        <v>0</v>
      </c>
      <c r="E18" s="1" t="s">
        <v>32</v>
      </c>
      <c r="F18" s="1">
        <v>15</v>
      </c>
      <c r="H18" s="1" t="s">
        <v>44</v>
      </c>
      <c r="I18" s="1">
        <v>0</v>
      </c>
    </row>
    <row r="19" spans="1:9" x14ac:dyDescent="0.2">
      <c r="A19" s="1" t="s">
        <v>31</v>
      </c>
      <c r="B19" s="15">
        <f>AVERAGE('Class Budget Data'!L:L)</f>
        <v>137.37142857142857</v>
      </c>
      <c r="C19" s="1">
        <v>100</v>
      </c>
      <c r="E19" s="1" t="s">
        <v>22</v>
      </c>
      <c r="F19" s="1">
        <v>50</v>
      </c>
      <c r="H19" s="1" t="s">
        <v>39</v>
      </c>
      <c r="I19" s="1">
        <v>10</v>
      </c>
    </row>
    <row r="20" spans="1:9" x14ac:dyDescent="0.2">
      <c r="A20" s="1" t="s">
        <v>24</v>
      </c>
      <c r="B20" s="15">
        <f>AVERAGE('Class Budget Data'!M:M)</f>
        <v>367.22916666666669</v>
      </c>
      <c r="C20" s="1">
        <v>0</v>
      </c>
      <c r="E20" s="1" t="s">
        <v>11</v>
      </c>
      <c r="F20" s="1">
        <v>100</v>
      </c>
      <c r="H20" s="1" t="s">
        <v>2</v>
      </c>
      <c r="I20" s="1">
        <v>250</v>
      </c>
    </row>
    <row r="21" spans="1:9" x14ac:dyDescent="0.2">
      <c r="A21" s="1" t="s">
        <v>25</v>
      </c>
      <c r="B21" s="16">
        <f>AVERAGE('Class Budget Data'!N:N)</f>
        <v>800.83170731707321</v>
      </c>
      <c r="C21" s="1">
        <v>0</v>
      </c>
      <c r="E21" s="1" t="s">
        <v>19</v>
      </c>
      <c r="F21" s="1">
        <v>100</v>
      </c>
      <c r="H21" s="1" t="s">
        <v>41</v>
      </c>
      <c r="I21" s="1">
        <v>0</v>
      </c>
    </row>
    <row r="22" spans="1:9" x14ac:dyDescent="0.2">
      <c r="A22" s="1" t="s">
        <v>32</v>
      </c>
      <c r="B22" s="17">
        <f>AVERAGE('Class Budget Data'!O:O)</f>
        <v>52.663437500000001</v>
      </c>
      <c r="C22" s="1">
        <v>15</v>
      </c>
      <c r="E22" s="1" t="s">
        <v>31</v>
      </c>
      <c r="F22" s="1">
        <v>100</v>
      </c>
      <c r="H22" s="1" t="s">
        <v>42</v>
      </c>
      <c r="I22" s="1">
        <v>0</v>
      </c>
    </row>
    <row r="23" spans="1:9" x14ac:dyDescent="0.2">
      <c r="A23" s="1" t="s">
        <v>26</v>
      </c>
      <c r="B23" s="17">
        <f>AVERAGE('Class Budget Data'!P:P)</f>
        <v>162.44385026737967</v>
      </c>
      <c r="C23" s="1">
        <v>300</v>
      </c>
      <c r="E23" s="1" t="s">
        <v>20</v>
      </c>
      <c r="F23" s="1">
        <v>250</v>
      </c>
      <c r="H23" s="1" t="s">
        <v>43</v>
      </c>
      <c r="I23" s="1">
        <v>0</v>
      </c>
    </row>
    <row r="24" spans="1:9" x14ac:dyDescent="0.2">
      <c r="A24" s="1" t="s">
        <v>27</v>
      </c>
      <c r="B24" s="17">
        <f>AVERAGE('Class Budget Data'!Q:Q)</f>
        <v>297.75</v>
      </c>
      <c r="C24" s="1">
        <v>0</v>
      </c>
      <c r="E24" s="1" t="s">
        <v>26</v>
      </c>
      <c r="F24" s="1">
        <v>300</v>
      </c>
      <c r="H24" s="1" t="s">
        <v>46</v>
      </c>
      <c r="I24" s="1">
        <v>15</v>
      </c>
    </row>
    <row r="25" spans="1:9" x14ac:dyDescent="0.2">
      <c r="B25" s="14"/>
      <c r="C25" s="14"/>
      <c r="E25" s="1" t="s">
        <v>29</v>
      </c>
      <c r="F25" s="1">
        <v>850</v>
      </c>
      <c r="H25" s="1" t="s">
        <v>34</v>
      </c>
      <c r="I25" s="1">
        <v>300</v>
      </c>
    </row>
    <row r="26" spans="1:9" x14ac:dyDescent="0.2">
      <c r="B26" s="14"/>
    </row>
    <row r="27" spans="1:9" x14ac:dyDescent="0.2">
      <c r="B27" s="14"/>
    </row>
    <row r="28" spans="1:9" x14ac:dyDescent="0.2">
      <c r="B28" s="14"/>
    </row>
    <row r="29" spans="1:9" x14ac:dyDescent="0.2">
      <c r="B29" s="14"/>
    </row>
    <row r="30" spans="1:9" x14ac:dyDescent="0.2">
      <c r="B30" s="14"/>
    </row>
  </sheetData>
  <sortState xmlns:xlrd2="http://schemas.microsoft.com/office/spreadsheetml/2017/richdata2" ref="H9:I25">
    <sortCondition ref="H13:H25"/>
  </sortState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showGridLines="0" tabSelected="1" topLeftCell="B3" zoomScale="114" workbookViewId="0">
      <selection activeCell="U18" sqref="U18"/>
    </sheetView>
  </sheetViews>
  <sheetFormatPr baseColWidth="10" defaultColWidth="8.83203125" defaultRowHeight="16" x14ac:dyDescent="0.2"/>
  <sheetData>
    <row r="1" spans="1:9" x14ac:dyDescent="0.2">
      <c r="A1" s="2" t="s">
        <v>47</v>
      </c>
      <c r="I1" s="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Honor Pledge</vt:lpstr>
      <vt:lpstr>Class Budget Data</vt:lpstr>
      <vt:lpstr>Monthly Expenses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jmendozagarcia@ufl.edu</dc:creator>
  <cp:lastModifiedBy>Cha, Josh</cp:lastModifiedBy>
  <dcterms:created xsi:type="dcterms:W3CDTF">2015-02-10T18:21:37Z</dcterms:created>
  <dcterms:modified xsi:type="dcterms:W3CDTF">2026-02-02T22:26:42Z</dcterms:modified>
</cp:coreProperties>
</file>