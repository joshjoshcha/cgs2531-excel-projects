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jeonghun/Desktop/CGS2531/"/>
    </mc:Choice>
  </mc:AlternateContent>
  <xr:revisionPtr revIDLastSave="0" documentId="13_ncr:9_{D2466F6E-41BC-9B40-A786-CF47301C5AFC}" xr6:coauthVersionLast="47" xr6:coauthVersionMax="47" xr10:uidLastSave="{00000000-0000-0000-0000-000000000000}"/>
  <bookViews>
    <workbookView xWindow="0" yWindow="0" windowWidth="28800" windowHeight="18000" activeTab="3" xr2:uid="{5FB7CEC1-DD92-0047-BEFB-C412C74681C8}"/>
  </bookViews>
  <sheets>
    <sheet name="Honor Pledge" sheetId="4" r:id="rId1"/>
    <sheet name="Prepared Data" sheetId="1" r:id="rId2"/>
    <sheet name="No Outliers" sheetId="2" r:id="rId3"/>
    <sheet name="Statistics" sheetId="3" r:id="rId4"/>
    <sheet name="Histograms" sheetId="5" r:id="rId5"/>
  </sheets>
  <definedNames>
    <definedName name="_xlnm._FilterDatabase" localSheetId="2" hidden="1">'No Outliers'!$A$1:$A$222</definedName>
    <definedName name="_xlnm._FilterDatabase" localSheetId="1" hidden="1">'Prepared Data'!$A$1:$C$418</definedName>
    <definedName name="_xlchart.v1.0" hidden="1">'Prepared Data'!$A$1</definedName>
    <definedName name="_xlchart.v1.1" hidden="1">'Prepared Data'!$A$2:$A$415</definedName>
    <definedName name="_xlchart.v1.10" hidden="1">Histograms!$A$1</definedName>
    <definedName name="_xlchart.v1.11" hidden="1">'Prepared Data'!$A$1</definedName>
    <definedName name="_xlchart.v1.12" hidden="1">'Prepared Data'!$A$2:$A$415</definedName>
    <definedName name="_xlchart.v1.13" hidden="1">'Prepared Data'!$A$1</definedName>
    <definedName name="_xlchart.v1.14" hidden="1">'Prepared Data'!$A$2:$A$415</definedName>
    <definedName name="_xlchart.v1.15" hidden="1">'Prepared Data'!$A$1</definedName>
    <definedName name="_xlchart.v1.16" hidden="1">'Prepared Data'!$A$2:$A$415</definedName>
    <definedName name="_xlchart.v1.17" hidden="1">'Prepared Data'!$A$1</definedName>
    <definedName name="_xlchart.v1.18" hidden="1">'Prepared Data'!$A$2:$A$415</definedName>
    <definedName name="_xlchart.v1.19" hidden="1">Histograms!$A$1</definedName>
    <definedName name="_xlchart.v1.2" hidden="1">Histograms!$A$1</definedName>
    <definedName name="_xlchart.v1.20" hidden="1">'Prepared Data'!$A$1</definedName>
    <definedName name="_xlchart.v1.21" hidden="1">'Prepared Data'!$A$2:$A$415</definedName>
    <definedName name="_xlchart.v1.22" hidden="1">'Prepared Data'!$A$1</definedName>
    <definedName name="_xlchart.v1.23" hidden="1">'Prepared Data'!$A$2:$A$415</definedName>
    <definedName name="_xlchart.v1.3" hidden="1">'Prepared Data'!$A$1</definedName>
    <definedName name="_xlchart.v1.4" hidden="1">'Prepared Data'!$A$2:$A$415</definedName>
    <definedName name="_xlchart.v1.5" hidden="1">'Prepared Data'!$A$1</definedName>
    <definedName name="_xlchart.v1.6" hidden="1">'Prepared Data'!$A$2:$A$415</definedName>
    <definedName name="_xlchart.v1.7" hidden="1">Histograms!$A$1</definedName>
    <definedName name="_xlchart.v1.8" hidden="1">'Prepared Data'!$A$1</definedName>
    <definedName name="_xlchart.v1.9" hidden="1">'Prepared Data'!$A$2:$A$415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5" l="1"/>
  <c r="L37" i="5"/>
  <c r="L36" i="5"/>
  <c r="L34" i="5"/>
  <c r="L33" i="5"/>
  <c r="L19" i="5"/>
  <c r="L18" i="5"/>
  <c r="C2" i="3"/>
  <c r="D2" i="3"/>
  <c r="E2" i="3"/>
  <c r="F2" i="3"/>
  <c r="C3" i="3"/>
  <c r="D3" i="3"/>
  <c r="E3" i="3"/>
  <c r="F3" i="3"/>
  <c r="C4" i="3"/>
  <c r="D4" i="3"/>
  <c r="E4" i="3"/>
  <c r="F4" i="3"/>
  <c r="C5" i="3"/>
  <c r="D5" i="3"/>
  <c r="E5" i="3"/>
  <c r="F5" i="3"/>
  <c r="C6" i="3"/>
  <c r="D6" i="3"/>
  <c r="E6" i="3"/>
  <c r="F6" i="3"/>
  <c r="C7" i="3"/>
  <c r="D7" i="3"/>
  <c r="E7" i="3"/>
  <c r="F7" i="3"/>
  <c r="C8" i="3"/>
  <c r="D8" i="3"/>
  <c r="E8" i="3"/>
  <c r="F8" i="3"/>
  <c r="C9" i="3"/>
  <c r="D9" i="3"/>
  <c r="E9" i="3"/>
  <c r="F9" i="3"/>
  <c r="C10" i="3"/>
  <c r="D10" i="3"/>
  <c r="E10" i="3"/>
  <c r="F10" i="3"/>
  <c r="C11" i="3"/>
  <c r="D11" i="3"/>
  <c r="E11" i="3"/>
  <c r="F11" i="3"/>
  <c r="C12" i="3"/>
  <c r="D12" i="3"/>
  <c r="E12" i="3"/>
  <c r="F12" i="3"/>
  <c r="C13" i="3"/>
  <c r="D13" i="3"/>
  <c r="E13" i="3"/>
  <c r="F13" i="3"/>
  <c r="C14" i="3"/>
  <c r="D14" i="3"/>
  <c r="E14" i="3"/>
  <c r="F14" i="3"/>
  <c r="C15" i="3"/>
  <c r="D15" i="3"/>
  <c r="E15" i="3"/>
  <c r="F15" i="3"/>
  <c r="C16" i="3"/>
  <c r="D16" i="3"/>
  <c r="E16" i="3"/>
  <c r="F16" i="3"/>
  <c r="C17" i="3"/>
  <c r="D17" i="3"/>
  <c r="E17" i="3"/>
  <c r="F17" i="3"/>
  <c r="C18" i="3"/>
  <c r="D18" i="3"/>
  <c r="E18" i="3"/>
  <c r="F18" i="3"/>
  <c r="C19" i="3"/>
  <c r="D19" i="3"/>
  <c r="E19" i="3"/>
  <c r="F19" i="3"/>
  <c r="C20" i="3"/>
  <c r="D20" i="3"/>
  <c r="E20" i="3"/>
  <c r="F20" i="3"/>
  <c r="C21" i="3"/>
  <c r="D21" i="3"/>
  <c r="E21" i="3"/>
  <c r="F21" i="3"/>
  <c r="C22" i="3"/>
  <c r="D22" i="3"/>
  <c r="E22" i="3"/>
  <c r="F22" i="3"/>
  <c r="C23" i="3"/>
  <c r="D23" i="3"/>
  <c r="E23" i="3"/>
  <c r="F23" i="3"/>
  <c r="C24" i="3"/>
  <c r="D24" i="3"/>
  <c r="E24" i="3"/>
  <c r="F24" i="3"/>
  <c r="C25" i="3"/>
  <c r="D25" i="3"/>
  <c r="E25" i="3"/>
  <c r="F25" i="3"/>
  <c r="C26" i="3"/>
  <c r="D26" i="3"/>
  <c r="E26" i="3"/>
  <c r="F26" i="3"/>
  <c r="C27" i="3"/>
  <c r="D27" i="3"/>
  <c r="E27" i="3"/>
  <c r="F27" i="3"/>
  <c r="C28" i="3"/>
  <c r="D28" i="3"/>
  <c r="E28" i="3"/>
  <c r="F28" i="3"/>
  <c r="C29" i="3"/>
  <c r="D29" i="3"/>
  <c r="E29" i="3"/>
  <c r="F29" i="3"/>
  <c r="C30" i="3"/>
  <c r="D30" i="3"/>
  <c r="E30" i="3"/>
  <c r="F30" i="3"/>
  <c r="C31" i="3"/>
  <c r="D31" i="3"/>
  <c r="E31" i="3"/>
  <c r="F31" i="3"/>
  <c r="C32" i="3"/>
  <c r="D32" i="3"/>
  <c r="E32" i="3"/>
  <c r="F32" i="3"/>
  <c r="C33" i="3"/>
  <c r="D33" i="3"/>
  <c r="E33" i="3"/>
  <c r="F33" i="3"/>
  <c r="C34" i="3"/>
  <c r="D34" i="3"/>
  <c r="E34" i="3"/>
  <c r="F34" i="3"/>
  <c r="C35" i="3"/>
  <c r="D35" i="3"/>
  <c r="E35" i="3"/>
  <c r="F35" i="3"/>
  <c r="C36" i="3"/>
  <c r="D36" i="3"/>
  <c r="E36" i="3"/>
  <c r="F36" i="3"/>
  <c r="C37" i="3"/>
  <c r="D37" i="3"/>
  <c r="E37" i="3"/>
  <c r="F37" i="3"/>
  <c r="C38" i="3"/>
  <c r="D38" i="3"/>
  <c r="E38" i="3"/>
  <c r="F38" i="3"/>
  <c r="C39" i="3"/>
  <c r="D39" i="3"/>
  <c r="E39" i="3"/>
  <c r="F39" i="3"/>
  <c r="C40" i="3"/>
  <c r="D40" i="3"/>
  <c r="E40" i="3"/>
  <c r="F40" i="3"/>
  <c r="C41" i="3"/>
  <c r="D41" i="3"/>
  <c r="E41" i="3"/>
  <c r="F41" i="3"/>
  <c r="C42" i="3"/>
  <c r="D42" i="3"/>
  <c r="E42" i="3"/>
  <c r="F42" i="3"/>
  <c r="C43" i="3"/>
  <c r="D43" i="3"/>
  <c r="E43" i="3"/>
  <c r="F43" i="3"/>
  <c r="C44" i="3"/>
  <c r="D44" i="3"/>
  <c r="E44" i="3"/>
  <c r="F44" i="3"/>
  <c r="C45" i="3"/>
  <c r="D45" i="3"/>
  <c r="E45" i="3"/>
  <c r="F45" i="3"/>
  <c r="C46" i="3"/>
  <c r="D46" i="3"/>
  <c r="E46" i="3"/>
  <c r="F46" i="3"/>
  <c r="C47" i="3"/>
  <c r="D47" i="3"/>
  <c r="E47" i="3"/>
  <c r="F47" i="3"/>
  <c r="C48" i="3"/>
  <c r="D48" i="3"/>
  <c r="E48" i="3"/>
  <c r="F48" i="3"/>
  <c r="C49" i="3"/>
  <c r="D49" i="3"/>
  <c r="E49" i="3"/>
  <c r="F49" i="3"/>
  <c r="C50" i="3"/>
  <c r="D50" i="3"/>
  <c r="E50" i="3"/>
  <c r="F50" i="3"/>
  <c r="C51" i="3"/>
  <c r="D51" i="3"/>
  <c r="E51" i="3"/>
  <c r="F51" i="3"/>
  <c r="C52" i="3"/>
  <c r="D52" i="3"/>
  <c r="E52" i="3"/>
  <c r="F52" i="3"/>
  <c r="C53" i="3"/>
  <c r="D53" i="3"/>
  <c r="E53" i="3"/>
  <c r="F53" i="3"/>
  <c r="C54" i="3"/>
  <c r="D54" i="3"/>
  <c r="E54" i="3"/>
  <c r="F54" i="3"/>
  <c r="C55" i="3"/>
  <c r="D55" i="3"/>
  <c r="E55" i="3"/>
  <c r="F55" i="3"/>
  <c r="C56" i="3"/>
  <c r="D56" i="3"/>
  <c r="E56" i="3"/>
  <c r="F56" i="3"/>
  <c r="C57" i="3"/>
  <c r="D57" i="3"/>
  <c r="E57" i="3"/>
  <c r="F57" i="3"/>
  <c r="C58" i="3"/>
  <c r="D58" i="3"/>
  <c r="E58" i="3"/>
  <c r="F58" i="3"/>
  <c r="C59" i="3"/>
  <c r="D59" i="3"/>
  <c r="E59" i="3"/>
  <c r="F59" i="3"/>
  <c r="C60" i="3"/>
  <c r="D60" i="3"/>
  <c r="E60" i="3"/>
  <c r="F60" i="3"/>
  <c r="C61" i="3"/>
  <c r="D61" i="3"/>
  <c r="E61" i="3"/>
  <c r="F61" i="3"/>
  <c r="C62" i="3"/>
  <c r="D62" i="3"/>
  <c r="E62" i="3"/>
  <c r="F62" i="3"/>
  <c r="C63" i="3"/>
  <c r="D63" i="3"/>
  <c r="E63" i="3"/>
  <c r="F63" i="3"/>
  <c r="C64" i="3"/>
  <c r="D64" i="3"/>
  <c r="E64" i="3"/>
  <c r="F64" i="3"/>
  <c r="C65" i="3"/>
  <c r="D65" i="3"/>
  <c r="E65" i="3"/>
  <c r="F65" i="3"/>
  <c r="C66" i="3"/>
  <c r="D66" i="3"/>
  <c r="E66" i="3"/>
  <c r="F66" i="3"/>
  <c r="C67" i="3"/>
  <c r="D67" i="3"/>
  <c r="E67" i="3"/>
  <c r="F67" i="3"/>
  <c r="C68" i="3"/>
  <c r="D68" i="3"/>
  <c r="E68" i="3"/>
  <c r="F68" i="3"/>
  <c r="C69" i="3"/>
  <c r="D69" i="3"/>
  <c r="E69" i="3"/>
  <c r="F69" i="3"/>
  <c r="C70" i="3"/>
  <c r="D70" i="3"/>
  <c r="E70" i="3"/>
  <c r="F70" i="3"/>
  <c r="C71" i="3"/>
  <c r="D71" i="3"/>
  <c r="E71" i="3"/>
  <c r="F71" i="3"/>
  <c r="C72" i="3"/>
  <c r="D72" i="3"/>
  <c r="E72" i="3"/>
  <c r="F72" i="3"/>
  <c r="C73" i="3"/>
  <c r="D73" i="3"/>
  <c r="E73" i="3"/>
  <c r="F73" i="3"/>
  <c r="C74" i="3"/>
  <c r="D74" i="3"/>
  <c r="E74" i="3"/>
  <c r="F74" i="3"/>
  <c r="C75" i="3"/>
  <c r="D75" i="3"/>
  <c r="E75" i="3"/>
  <c r="F75" i="3"/>
  <c r="C76" i="3"/>
  <c r="D76" i="3"/>
  <c r="E76" i="3"/>
  <c r="F76" i="3"/>
  <c r="C77" i="3"/>
  <c r="D77" i="3"/>
  <c r="E77" i="3"/>
  <c r="F77" i="3"/>
  <c r="C78" i="3"/>
  <c r="D78" i="3"/>
  <c r="E78" i="3"/>
  <c r="F78" i="3"/>
  <c r="C79" i="3"/>
  <c r="D79" i="3"/>
  <c r="E79" i="3"/>
  <c r="F79" i="3"/>
  <c r="C80" i="3"/>
  <c r="D80" i="3"/>
  <c r="E80" i="3"/>
  <c r="F80" i="3"/>
  <c r="C81" i="3"/>
  <c r="D81" i="3"/>
  <c r="E81" i="3"/>
  <c r="F81" i="3"/>
  <c r="C82" i="3"/>
  <c r="D82" i="3"/>
  <c r="E82" i="3"/>
  <c r="F82" i="3"/>
  <c r="C83" i="3"/>
  <c r="D83" i="3"/>
  <c r="E83" i="3"/>
  <c r="F83" i="3"/>
  <c r="C84" i="3"/>
  <c r="D84" i="3"/>
  <c r="E84" i="3"/>
  <c r="F84" i="3"/>
  <c r="C85" i="3"/>
  <c r="D85" i="3"/>
  <c r="E85" i="3"/>
  <c r="F85" i="3"/>
  <c r="C86" i="3"/>
  <c r="D86" i="3"/>
  <c r="E86" i="3"/>
  <c r="F86" i="3"/>
  <c r="C87" i="3"/>
  <c r="D87" i="3"/>
  <c r="E87" i="3"/>
  <c r="F87" i="3"/>
  <c r="C88" i="3"/>
  <c r="D88" i="3"/>
  <c r="E88" i="3"/>
  <c r="F88" i="3"/>
  <c r="C89" i="3"/>
  <c r="D89" i="3"/>
  <c r="E89" i="3"/>
  <c r="F89" i="3"/>
  <c r="C90" i="3"/>
  <c r="D90" i="3"/>
  <c r="E90" i="3"/>
  <c r="F90" i="3"/>
  <c r="C91" i="3"/>
  <c r="D91" i="3"/>
  <c r="E91" i="3"/>
  <c r="F91" i="3"/>
  <c r="C92" i="3"/>
  <c r="D92" i="3"/>
  <c r="E92" i="3"/>
  <c r="F92" i="3"/>
  <c r="C93" i="3"/>
  <c r="D93" i="3"/>
  <c r="E93" i="3"/>
  <c r="F93" i="3"/>
  <c r="C94" i="3"/>
  <c r="D94" i="3"/>
  <c r="E94" i="3"/>
  <c r="F94" i="3"/>
  <c r="C95" i="3"/>
  <c r="D95" i="3"/>
  <c r="E95" i="3"/>
  <c r="F95" i="3"/>
  <c r="C96" i="3"/>
  <c r="D96" i="3"/>
  <c r="E96" i="3"/>
  <c r="F96" i="3"/>
  <c r="C97" i="3"/>
  <c r="D97" i="3"/>
  <c r="E97" i="3"/>
  <c r="F97" i="3"/>
  <c r="C98" i="3"/>
  <c r="D98" i="3"/>
  <c r="E98" i="3"/>
  <c r="F98" i="3"/>
  <c r="C99" i="3"/>
  <c r="D99" i="3"/>
  <c r="E99" i="3"/>
  <c r="F99" i="3"/>
  <c r="C100" i="3"/>
  <c r="D100" i="3"/>
  <c r="E100" i="3"/>
  <c r="F100" i="3"/>
  <c r="C101" i="3"/>
  <c r="D101" i="3"/>
  <c r="E101" i="3"/>
  <c r="F101" i="3"/>
  <c r="C102" i="3"/>
  <c r="D102" i="3"/>
  <c r="E102" i="3"/>
  <c r="F102" i="3"/>
  <c r="C103" i="3"/>
  <c r="D103" i="3"/>
  <c r="E103" i="3"/>
  <c r="F103" i="3"/>
  <c r="C104" i="3"/>
  <c r="D104" i="3"/>
  <c r="E104" i="3"/>
  <c r="F104" i="3"/>
  <c r="C105" i="3"/>
  <c r="D105" i="3"/>
  <c r="E105" i="3"/>
  <c r="F105" i="3"/>
  <c r="C106" i="3"/>
  <c r="D106" i="3"/>
  <c r="E106" i="3"/>
  <c r="F106" i="3"/>
  <c r="C107" i="3"/>
  <c r="D107" i="3"/>
  <c r="E107" i="3"/>
  <c r="F107" i="3"/>
  <c r="C108" i="3"/>
  <c r="D108" i="3"/>
  <c r="E108" i="3"/>
  <c r="F108" i="3"/>
  <c r="C109" i="3"/>
  <c r="D109" i="3"/>
  <c r="E109" i="3"/>
  <c r="F109" i="3"/>
  <c r="C110" i="3"/>
  <c r="D110" i="3"/>
  <c r="E110" i="3"/>
  <c r="F110" i="3"/>
  <c r="C111" i="3"/>
  <c r="D111" i="3"/>
  <c r="E111" i="3"/>
  <c r="F111" i="3"/>
  <c r="C112" i="3"/>
  <c r="D112" i="3"/>
  <c r="E112" i="3"/>
  <c r="F112" i="3"/>
  <c r="C113" i="3"/>
  <c r="D113" i="3"/>
  <c r="E113" i="3"/>
  <c r="F113" i="3"/>
  <c r="C114" i="3"/>
  <c r="D114" i="3"/>
  <c r="E114" i="3"/>
  <c r="F114" i="3"/>
  <c r="C115" i="3"/>
  <c r="D115" i="3"/>
  <c r="E115" i="3"/>
  <c r="F115" i="3"/>
  <c r="C116" i="3"/>
  <c r="D116" i="3"/>
  <c r="E116" i="3"/>
  <c r="F116" i="3"/>
  <c r="C117" i="3"/>
  <c r="D117" i="3"/>
  <c r="E117" i="3"/>
  <c r="F117" i="3"/>
  <c r="C118" i="3"/>
  <c r="D118" i="3"/>
  <c r="E118" i="3"/>
  <c r="F118" i="3"/>
  <c r="C119" i="3"/>
  <c r="D119" i="3"/>
  <c r="E119" i="3"/>
  <c r="F119" i="3"/>
  <c r="C120" i="3"/>
  <c r="D120" i="3"/>
  <c r="E120" i="3"/>
  <c r="F120" i="3"/>
  <c r="C121" i="3"/>
  <c r="D121" i="3"/>
  <c r="E121" i="3"/>
  <c r="F121" i="3"/>
  <c r="C122" i="3"/>
  <c r="D122" i="3"/>
  <c r="E122" i="3"/>
  <c r="F122" i="3"/>
  <c r="C123" i="3"/>
  <c r="D123" i="3"/>
  <c r="E123" i="3"/>
  <c r="F123" i="3"/>
  <c r="C124" i="3"/>
  <c r="D124" i="3"/>
  <c r="E124" i="3"/>
  <c r="F124" i="3"/>
  <c r="C125" i="3"/>
  <c r="D125" i="3"/>
  <c r="E125" i="3"/>
  <c r="F125" i="3"/>
  <c r="C126" i="3"/>
  <c r="D126" i="3"/>
  <c r="E126" i="3"/>
  <c r="F126" i="3"/>
  <c r="C127" i="3"/>
  <c r="D127" i="3"/>
  <c r="E127" i="3"/>
  <c r="F127" i="3"/>
  <c r="C128" i="3"/>
  <c r="D128" i="3"/>
  <c r="E128" i="3"/>
  <c r="F128" i="3"/>
  <c r="C129" i="3"/>
  <c r="D129" i="3"/>
  <c r="E129" i="3"/>
  <c r="F129" i="3"/>
  <c r="C130" i="3"/>
  <c r="D130" i="3"/>
  <c r="E130" i="3"/>
  <c r="F130" i="3"/>
  <c r="C131" i="3"/>
  <c r="D131" i="3"/>
  <c r="E131" i="3"/>
  <c r="F131" i="3"/>
  <c r="C132" i="3"/>
  <c r="D132" i="3"/>
  <c r="E132" i="3"/>
  <c r="F132" i="3"/>
  <c r="C133" i="3"/>
  <c r="D133" i="3"/>
  <c r="E133" i="3"/>
  <c r="F133" i="3"/>
  <c r="C134" i="3"/>
  <c r="D134" i="3"/>
  <c r="E134" i="3"/>
  <c r="F134" i="3"/>
  <c r="C135" i="3"/>
  <c r="D135" i="3"/>
  <c r="E135" i="3"/>
  <c r="F135" i="3"/>
  <c r="C136" i="3"/>
  <c r="D136" i="3"/>
  <c r="E136" i="3"/>
  <c r="F136" i="3"/>
  <c r="C137" i="3"/>
  <c r="D137" i="3"/>
  <c r="E137" i="3"/>
  <c r="F137" i="3"/>
  <c r="C138" i="3"/>
  <c r="D138" i="3"/>
  <c r="E138" i="3"/>
  <c r="F138" i="3"/>
  <c r="C139" i="3"/>
  <c r="D139" i="3"/>
  <c r="E139" i="3"/>
  <c r="F139" i="3"/>
  <c r="C140" i="3"/>
  <c r="D140" i="3"/>
  <c r="E140" i="3"/>
  <c r="F140" i="3"/>
  <c r="C141" i="3"/>
  <c r="D141" i="3"/>
  <c r="E141" i="3"/>
  <c r="F141" i="3"/>
  <c r="C142" i="3"/>
  <c r="D142" i="3"/>
  <c r="E142" i="3"/>
  <c r="F142" i="3"/>
  <c r="C143" i="3"/>
  <c r="D143" i="3"/>
  <c r="E143" i="3"/>
  <c r="F143" i="3"/>
  <c r="C144" i="3"/>
  <c r="D144" i="3"/>
  <c r="E144" i="3"/>
  <c r="F144" i="3"/>
  <c r="C145" i="3"/>
  <c r="D145" i="3"/>
  <c r="E145" i="3"/>
  <c r="F145" i="3"/>
  <c r="C146" i="3"/>
  <c r="D146" i="3"/>
  <c r="E146" i="3"/>
  <c r="F146" i="3"/>
  <c r="C147" i="3"/>
  <c r="D147" i="3"/>
  <c r="E147" i="3"/>
  <c r="F147" i="3"/>
  <c r="C148" i="3"/>
  <c r="D148" i="3"/>
  <c r="E148" i="3"/>
  <c r="F148" i="3"/>
  <c r="C149" i="3"/>
  <c r="D149" i="3"/>
  <c r="E149" i="3"/>
  <c r="F149" i="3"/>
  <c r="C150" i="3"/>
  <c r="D150" i="3"/>
  <c r="E150" i="3"/>
  <c r="F150" i="3"/>
  <c r="C151" i="3"/>
  <c r="D151" i="3"/>
  <c r="E151" i="3"/>
  <c r="F151" i="3"/>
  <c r="C152" i="3"/>
  <c r="D152" i="3"/>
  <c r="E152" i="3"/>
  <c r="F152" i="3"/>
  <c r="C153" i="3"/>
  <c r="D153" i="3"/>
  <c r="E153" i="3"/>
  <c r="F153" i="3"/>
  <c r="C154" i="3"/>
  <c r="D154" i="3"/>
  <c r="E154" i="3"/>
  <c r="F154" i="3"/>
  <c r="C155" i="3"/>
  <c r="D155" i="3"/>
  <c r="E155" i="3"/>
  <c r="F155" i="3"/>
  <c r="C156" i="3"/>
  <c r="D156" i="3"/>
  <c r="E156" i="3"/>
  <c r="F156" i="3"/>
  <c r="C157" i="3"/>
  <c r="D157" i="3"/>
  <c r="E157" i="3"/>
  <c r="F157" i="3"/>
  <c r="C158" i="3"/>
  <c r="D158" i="3"/>
  <c r="E158" i="3"/>
  <c r="F158" i="3"/>
  <c r="C159" i="3"/>
  <c r="D159" i="3"/>
  <c r="E159" i="3"/>
  <c r="F159" i="3"/>
  <c r="C160" i="3"/>
  <c r="D160" i="3"/>
  <c r="E160" i="3"/>
  <c r="F160" i="3"/>
  <c r="C161" i="3"/>
  <c r="D161" i="3"/>
  <c r="E161" i="3"/>
  <c r="F161" i="3"/>
  <c r="C162" i="3"/>
  <c r="D162" i="3"/>
  <c r="E162" i="3"/>
  <c r="F162" i="3"/>
  <c r="C163" i="3"/>
  <c r="D163" i="3"/>
  <c r="E163" i="3"/>
  <c r="F163" i="3"/>
  <c r="C164" i="3"/>
  <c r="D164" i="3"/>
  <c r="E164" i="3"/>
  <c r="F164" i="3"/>
  <c r="C165" i="3"/>
  <c r="D165" i="3"/>
  <c r="E165" i="3"/>
  <c r="F165" i="3"/>
  <c r="C166" i="3"/>
  <c r="D166" i="3"/>
  <c r="E166" i="3"/>
  <c r="F166" i="3"/>
  <c r="C167" i="3"/>
  <c r="D167" i="3"/>
  <c r="E167" i="3"/>
  <c r="F167" i="3"/>
  <c r="C168" i="3"/>
  <c r="D168" i="3"/>
  <c r="E168" i="3"/>
  <c r="F168" i="3"/>
  <c r="C169" i="3"/>
  <c r="D169" i="3"/>
  <c r="E169" i="3"/>
  <c r="F169" i="3"/>
  <c r="C170" i="3"/>
  <c r="D170" i="3"/>
  <c r="E170" i="3"/>
  <c r="F170" i="3"/>
  <c r="C171" i="3"/>
  <c r="D171" i="3"/>
  <c r="E171" i="3"/>
  <c r="F171" i="3"/>
  <c r="C172" i="3"/>
  <c r="D172" i="3"/>
  <c r="E172" i="3"/>
  <c r="F172" i="3"/>
  <c r="C173" i="3"/>
  <c r="D173" i="3"/>
  <c r="E173" i="3"/>
  <c r="F173" i="3"/>
  <c r="C174" i="3"/>
  <c r="D174" i="3"/>
  <c r="E174" i="3"/>
  <c r="F174" i="3"/>
  <c r="C175" i="3"/>
  <c r="D175" i="3"/>
  <c r="E175" i="3"/>
  <c r="F175" i="3"/>
  <c r="C176" i="3"/>
  <c r="D176" i="3"/>
  <c r="E176" i="3"/>
  <c r="F176" i="3"/>
  <c r="C177" i="3"/>
  <c r="D177" i="3"/>
  <c r="E177" i="3"/>
  <c r="F177" i="3"/>
  <c r="C178" i="3"/>
  <c r="D178" i="3"/>
  <c r="E178" i="3"/>
  <c r="F178" i="3"/>
  <c r="C179" i="3"/>
  <c r="D179" i="3"/>
  <c r="E179" i="3"/>
  <c r="F179" i="3"/>
  <c r="C180" i="3"/>
  <c r="D180" i="3"/>
  <c r="E180" i="3"/>
  <c r="F180" i="3"/>
  <c r="C181" i="3"/>
  <c r="D181" i="3"/>
  <c r="E181" i="3"/>
  <c r="F181" i="3"/>
  <c r="C182" i="3"/>
  <c r="D182" i="3"/>
  <c r="E182" i="3"/>
  <c r="F182" i="3"/>
  <c r="C183" i="3"/>
  <c r="D183" i="3"/>
  <c r="E183" i="3"/>
  <c r="F183" i="3"/>
  <c r="C184" i="3"/>
  <c r="D184" i="3"/>
  <c r="E184" i="3"/>
  <c r="F184" i="3"/>
  <c r="C185" i="3"/>
  <c r="D185" i="3"/>
  <c r="E185" i="3"/>
  <c r="F185" i="3"/>
  <c r="C186" i="3"/>
  <c r="D186" i="3"/>
  <c r="E186" i="3"/>
  <c r="F186" i="3"/>
  <c r="C187" i="3"/>
  <c r="D187" i="3"/>
  <c r="E187" i="3"/>
  <c r="F187" i="3"/>
  <c r="C188" i="3"/>
  <c r="D188" i="3"/>
  <c r="E188" i="3"/>
  <c r="F188" i="3"/>
  <c r="C189" i="3"/>
  <c r="D189" i="3"/>
  <c r="E189" i="3"/>
  <c r="F189" i="3"/>
  <c r="C190" i="3"/>
  <c r="D190" i="3"/>
  <c r="E190" i="3"/>
  <c r="F190" i="3"/>
  <c r="C191" i="3"/>
  <c r="D191" i="3"/>
  <c r="E191" i="3"/>
  <c r="F191" i="3"/>
  <c r="C192" i="3"/>
  <c r="D192" i="3"/>
  <c r="E192" i="3"/>
  <c r="F192" i="3"/>
  <c r="C193" i="3"/>
  <c r="D193" i="3"/>
  <c r="E193" i="3"/>
  <c r="F193" i="3"/>
  <c r="C194" i="3"/>
  <c r="D194" i="3"/>
  <c r="E194" i="3"/>
  <c r="F194" i="3"/>
  <c r="C195" i="3"/>
  <c r="D195" i="3"/>
  <c r="E195" i="3"/>
  <c r="F195" i="3"/>
  <c r="C196" i="3"/>
  <c r="D196" i="3"/>
  <c r="E196" i="3"/>
  <c r="F196" i="3"/>
  <c r="C197" i="3"/>
  <c r="D197" i="3"/>
  <c r="E197" i="3"/>
  <c r="F197" i="3"/>
  <c r="C198" i="3"/>
  <c r="D198" i="3"/>
  <c r="E198" i="3"/>
  <c r="F198" i="3"/>
  <c r="C199" i="3"/>
  <c r="D199" i="3"/>
  <c r="E199" i="3"/>
  <c r="F199" i="3"/>
  <c r="C200" i="3"/>
  <c r="D200" i="3"/>
  <c r="E200" i="3"/>
  <c r="F200" i="3"/>
  <c r="C201" i="3"/>
  <c r="D201" i="3"/>
  <c r="E201" i="3"/>
  <c r="F201" i="3"/>
  <c r="C202" i="3"/>
  <c r="D202" i="3"/>
  <c r="E202" i="3"/>
  <c r="F202" i="3"/>
  <c r="C203" i="3"/>
  <c r="D203" i="3"/>
  <c r="E203" i="3"/>
  <c r="F203" i="3"/>
  <c r="C204" i="3"/>
  <c r="D204" i="3"/>
  <c r="E204" i="3"/>
  <c r="F204" i="3"/>
  <c r="C205" i="3"/>
  <c r="D205" i="3"/>
  <c r="E205" i="3"/>
  <c r="F205" i="3"/>
  <c r="C206" i="3"/>
  <c r="D206" i="3"/>
  <c r="E206" i="3"/>
  <c r="F206" i="3"/>
  <c r="C207" i="3"/>
  <c r="D207" i="3"/>
  <c r="E207" i="3"/>
  <c r="F207" i="3"/>
  <c r="C208" i="3"/>
  <c r="D208" i="3"/>
  <c r="E208" i="3"/>
  <c r="F208" i="3"/>
  <c r="C209" i="3"/>
  <c r="D209" i="3"/>
  <c r="E209" i="3"/>
  <c r="F209" i="3"/>
  <c r="C210" i="3"/>
  <c r="D210" i="3"/>
  <c r="E210" i="3"/>
  <c r="F210" i="3"/>
  <c r="C211" i="3"/>
  <c r="D211" i="3"/>
  <c r="E211" i="3"/>
  <c r="F211" i="3"/>
  <c r="C212" i="3"/>
  <c r="D212" i="3"/>
  <c r="E212" i="3"/>
  <c r="F212" i="3"/>
  <c r="C213" i="3"/>
  <c r="D213" i="3"/>
  <c r="E213" i="3"/>
  <c r="F213" i="3"/>
  <c r="C214" i="3"/>
  <c r="D214" i="3"/>
  <c r="E214" i="3"/>
  <c r="F214" i="3"/>
  <c r="C215" i="3"/>
  <c r="D215" i="3"/>
  <c r="E215" i="3"/>
  <c r="F215" i="3"/>
  <c r="C216" i="3"/>
  <c r="D216" i="3"/>
  <c r="E216" i="3"/>
  <c r="F216" i="3"/>
  <c r="C217" i="3"/>
  <c r="D217" i="3"/>
  <c r="E217" i="3"/>
  <c r="F217" i="3"/>
  <c r="C218" i="3"/>
  <c r="D218" i="3"/>
  <c r="E218" i="3"/>
  <c r="F218" i="3"/>
  <c r="C219" i="3"/>
  <c r="D219" i="3"/>
  <c r="E219" i="3"/>
  <c r="F219" i="3"/>
  <c r="C220" i="3"/>
  <c r="D220" i="3"/>
  <c r="E220" i="3"/>
  <c r="F220" i="3"/>
  <c r="C221" i="3"/>
  <c r="D221" i="3"/>
  <c r="E221" i="3"/>
  <c r="F221" i="3"/>
  <c r="C222" i="3"/>
  <c r="D222" i="3"/>
  <c r="E222" i="3"/>
  <c r="F222" i="3"/>
  <c r="C223" i="3"/>
  <c r="D223" i="3"/>
  <c r="E223" i="3"/>
  <c r="F223" i="3"/>
  <c r="C224" i="3"/>
  <c r="D224" i="3"/>
  <c r="E224" i="3"/>
  <c r="F224" i="3"/>
  <c r="C225" i="3"/>
  <c r="D225" i="3"/>
  <c r="E225" i="3"/>
  <c r="F225" i="3"/>
  <c r="C226" i="3"/>
  <c r="D226" i="3"/>
  <c r="E226" i="3"/>
  <c r="F226" i="3"/>
  <c r="C227" i="3"/>
  <c r="D227" i="3"/>
  <c r="E227" i="3"/>
  <c r="F227" i="3"/>
  <c r="C228" i="3"/>
  <c r="D228" i="3"/>
  <c r="E228" i="3"/>
  <c r="F228" i="3"/>
  <c r="C229" i="3"/>
  <c r="D229" i="3"/>
  <c r="E229" i="3"/>
  <c r="F229" i="3"/>
  <c r="C230" i="3"/>
  <c r="D230" i="3"/>
  <c r="E230" i="3"/>
  <c r="F230" i="3"/>
  <c r="C231" i="3"/>
  <c r="D231" i="3"/>
  <c r="E231" i="3"/>
  <c r="F231" i="3"/>
  <c r="C232" i="3"/>
  <c r="D232" i="3"/>
  <c r="E232" i="3"/>
  <c r="F232" i="3"/>
  <c r="C233" i="3"/>
  <c r="D233" i="3"/>
  <c r="E233" i="3"/>
  <c r="F233" i="3"/>
  <c r="C234" i="3"/>
  <c r="D234" i="3"/>
  <c r="E234" i="3"/>
  <c r="F234" i="3"/>
  <c r="C235" i="3"/>
  <c r="D235" i="3"/>
  <c r="E235" i="3"/>
  <c r="F235" i="3"/>
  <c r="C236" i="3"/>
  <c r="D236" i="3"/>
  <c r="E236" i="3"/>
  <c r="F236" i="3"/>
  <c r="C237" i="3"/>
  <c r="D237" i="3"/>
  <c r="E237" i="3"/>
  <c r="F237" i="3"/>
  <c r="C238" i="3"/>
  <c r="D238" i="3"/>
  <c r="E238" i="3"/>
  <c r="F238" i="3"/>
  <c r="C239" i="3"/>
  <c r="D239" i="3"/>
  <c r="E239" i="3"/>
  <c r="F239" i="3"/>
  <c r="C240" i="3"/>
  <c r="D240" i="3"/>
  <c r="E240" i="3"/>
  <c r="F240" i="3"/>
  <c r="C241" i="3"/>
  <c r="D241" i="3"/>
  <c r="E241" i="3"/>
  <c r="F241" i="3"/>
  <c r="C242" i="3"/>
  <c r="D242" i="3"/>
  <c r="E242" i="3"/>
  <c r="F242" i="3"/>
  <c r="C243" i="3"/>
  <c r="D243" i="3"/>
  <c r="E243" i="3"/>
  <c r="F243" i="3"/>
  <c r="C244" i="3"/>
  <c r="D244" i="3"/>
  <c r="E244" i="3"/>
  <c r="F244" i="3"/>
  <c r="C245" i="3"/>
  <c r="D245" i="3"/>
  <c r="E245" i="3"/>
  <c r="F245" i="3"/>
  <c r="C246" i="3"/>
  <c r="D246" i="3"/>
  <c r="E246" i="3"/>
  <c r="F246" i="3"/>
  <c r="C247" i="3"/>
  <c r="D247" i="3"/>
  <c r="E247" i="3"/>
  <c r="F247" i="3"/>
  <c r="C248" i="3"/>
  <c r="D248" i="3"/>
  <c r="E248" i="3"/>
  <c r="F248" i="3"/>
  <c r="C249" i="3"/>
  <c r="D249" i="3"/>
  <c r="E249" i="3"/>
  <c r="F249" i="3"/>
  <c r="C250" i="3"/>
  <c r="D250" i="3"/>
  <c r="E250" i="3"/>
  <c r="F250" i="3"/>
  <c r="C251" i="3"/>
  <c r="D251" i="3"/>
  <c r="E251" i="3"/>
  <c r="F251" i="3"/>
  <c r="C252" i="3"/>
  <c r="D252" i="3"/>
  <c r="E252" i="3"/>
  <c r="F252" i="3"/>
  <c r="C253" i="3"/>
  <c r="D253" i="3"/>
  <c r="E253" i="3"/>
  <c r="F253" i="3"/>
  <c r="C254" i="3"/>
  <c r="D254" i="3"/>
  <c r="E254" i="3"/>
  <c r="F254" i="3"/>
  <c r="C255" i="3"/>
  <c r="D255" i="3"/>
  <c r="E255" i="3"/>
  <c r="F255" i="3"/>
  <c r="C256" i="3"/>
  <c r="D256" i="3"/>
  <c r="E256" i="3"/>
  <c r="F256" i="3"/>
  <c r="C257" i="3"/>
  <c r="D257" i="3"/>
  <c r="E257" i="3"/>
  <c r="F257" i="3"/>
  <c r="C258" i="3"/>
  <c r="D258" i="3"/>
  <c r="E258" i="3"/>
  <c r="F258" i="3"/>
  <c r="C259" i="3"/>
  <c r="D259" i="3"/>
  <c r="E259" i="3"/>
  <c r="F259" i="3"/>
  <c r="C260" i="3"/>
  <c r="D260" i="3"/>
  <c r="E260" i="3"/>
  <c r="F260" i="3"/>
  <c r="C261" i="3"/>
  <c r="D261" i="3"/>
  <c r="E261" i="3"/>
  <c r="F261" i="3"/>
  <c r="C262" i="3"/>
  <c r="D262" i="3"/>
  <c r="E262" i="3"/>
  <c r="F262" i="3"/>
  <c r="C263" i="3"/>
  <c r="D263" i="3"/>
  <c r="E263" i="3"/>
  <c r="F263" i="3"/>
  <c r="C264" i="3"/>
  <c r="D264" i="3"/>
  <c r="E264" i="3"/>
  <c r="F264" i="3"/>
  <c r="C265" i="3"/>
  <c r="D265" i="3"/>
  <c r="E265" i="3"/>
  <c r="F265" i="3"/>
  <c r="C266" i="3"/>
  <c r="D266" i="3"/>
  <c r="E266" i="3"/>
  <c r="F266" i="3"/>
  <c r="C267" i="3"/>
  <c r="D267" i="3"/>
  <c r="E267" i="3"/>
  <c r="F267" i="3"/>
  <c r="C268" i="3"/>
  <c r="D268" i="3"/>
  <c r="E268" i="3"/>
  <c r="F268" i="3"/>
  <c r="C269" i="3"/>
  <c r="D269" i="3"/>
  <c r="E269" i="3"/>
  <c r="F269" i="3"/>
  <c r="C270" i="3"/>
  <c r="D270" i="3"/>
  <c r="E270" i="3"/>
  <c r="F270" i="3"/>
  <c r="C271" i="3"/>
  <c r="D271" i="3"/>
  <c r="E271" i="3"/>
  <c r="F271" i="3"/>
  <c r="C272" i="3"/>
  <c r="D272" i="3"/>
  <c r="E272" i="3"/>
  <c r="F272" i="3"/>
  <c r="C273" i="3"/>
  <c r="D273" i="3"/>
  <c r="E273" i="3"/>
  <c r="F273" i="3"/>
  <c r="C274" i="3"/>
  <c r="D274" i="3"/>
  <c r="E274" i="3"/>
  <c r="F274" i="3"/>
  <c r="C275" i="3"/>
  <c r="D275" i="3"/>
  <c r="E275" i="3"/>
  <c r="F275" i="3"/>
  <c r="C276" i="3"/>
  <c r="D276" i="3"/>
  <c r="E276" i="3"/>
  <c r="F276" i="3"/>
  <c r="C277" i="3"/>
  <c r="D277" i="3"/>
  <c r="E277" i="3"/>
  <c r="F277" i="3"/>
  <c r="C278" i="3"/>
  <c r="D278" i="3"/>
  <c r="E278" i="3"/>
  <c r="F278" i="3"/>
  <c r="C279" i="3"/>
  <c r="D279" i="3"/>
  <c r="E279" i="3"/>
  <c r="F279" i="3"/>
  <c r="C280" i="3"/>
  <c r="D280" i="3"/>
  <c r="E280" i="3"/>
  <c r="F280" i="3"/>
  <c r="C281" i="3"/>
  <c r="D281" i="3"/>
  <c r="E281" i="3"/>
  <c r="F281" i="3"/>
  <c r="C282" i="3"/>
  <c r="D282" i="3"/>
  <c r="E282" i="3"/>
  <c r="F282" i="3"/>
  <c r="C283" i="3"/>
  <c r="D283" i="3"/>
  <c r="E283" i="3"/>
  <c r="F283" i="3"/>
  <c r="C284" i="3"/>
  <c r="D284" i="3"/>
  <c r="E284" i="3"/>
  <c r="F284" i="3"/>
  <c r="C285" i="3"/>
  <c r="D285" i="3"/>
  <c r="E285" i="3"/>
  <c r="F285" i="3"/>
  <c r="C286" i="3"/>
  <c r="D286" i="3"/>
  <c r="E286" i="3"/>
  <c r="F286" i="3"/>
  <c r="C287" i="3"/>
  <c r="D287" i="3"/>
  <c r="E287" i="3"/>
  <c r="F287" i="3"/>
  <c r="C288" i="3"/>
  <c r="D288" i="3"/>
  <c r="E288" i="3"/>
  <c r="F288" i="3"/>
  <c r="C289" i="3"/>
  <c r="D289" i="3"/>
  <c r="E289" i="3"/>
  <c r="F289" i="3"/>
  <c r="C290" i="3"/>
  <c r="D290" i="3"/>
  <c r="E290" i="3"/>
  <c r="F290" i="3"/>
  <c r="C291" i="3"/>
  <c r="D291" i="3"/>
  <c r="E291" i="3"/>
  <c r="F291" i="3"/>
  <c r="C292" i="3"/>
  <c r="D292" i="3"/>
  <c r="E292" i="3"/>
  <c r="F292" i="3"/>
  <c r="C293" i="3"/>
  <c r="D293" i="3"/>
  <c r="E293" i="3"/>
  <c r="F293" i="3"/>
  <c r="C294" i="3"/>
  <c r="D294" i="3"/>
  <c r="E294" i="3"/>
  <c r="F294" i="3"/>
  <c r="C295" i="3"/>
  <c r="D295" i="3"/>
  <c r="E295" i="3"/>
  <c r="F295" i="3"/>
  <c r="C296" i="3"/>
  <c r="D296" i="3"/>
  <c r="E296" i="3"/>
  <c r="F296" i="3"/>
  <c r="C297" i="3"/>
  <c r="D297" i="3"/>
  <c r="E297" i="3"/>
  <c r="F297" i="3"/>
  <c r="C298" i="3"/>
  <c r="D298" i="3"/>
  <c r="E298" i="3"/>
  <c r="F298" i="3"/>
  <c r="C299" i="3"/>
  <c r="D299" i="3"/>
  <c r="E299" i="3"/>
  <c r="F299" i="3"/>
  <c r="C300" i="3"/>
  <c r="D300" i="3"/>
  <c r="E300" i="3"/>
  <c r="F300" i="3"/>
  <c r="C301" i="3"/>
  <c r="D301" i="3"/>
  <c r="E301" i="3"/>
  <c r="F301" i="3"/>
  <c r="C302" i="3"/>
  <c r="D302" i="3"/>
  <c r="E302" i="3"/>
  <c r="F302" i="3"/>
  <c r="C303" i="3"/>
  <c r="D303" i="3"/>
  <c r="E303" i="3"/>
  <c r="F303" i="3"/>
  <c r="C304" i="3"/>
  <c r="D304" i="3"/>
  <c r="E304" i="3"/>
  <c r="F304" i="3"/>
  <c r="C305" i="3"/>
  <c r="D305" i="3"/>
  <c r="E305" i="3"/>
  <c r="F305" i="3"/>
  <c r="C306" i="3"/>
  <c r="D306" i="3"/>
  <c r="E306" i="3"/>
  <c r="F306" i="3"/>
  <c r="C307" i="3"/>
  <c r="D307" i="3"/>
  <c r="E307" i="3"/>
  <c r="F307" i="3"/>
  <c r="C308" i="3"/>
  <c r="D308" i="3"/>
  <c r="E308" i="3"/>
  <c r="F308" i="3"/>
  <c r="C309" i="3"/>
  <c r="D309" i="3"/>
  <c r="E309" i="3"/>
  <c r="F309" i="3"/>
  <c r="C310" i="3"/>
  <c r="D310" i="3"/>
  <c r="E310" i="3"/>
  <c r="F310" i="3"/>
  <c r="C311" i="3"/>
  <c r="D311" i="3"/>
  <c r="E311" i="3"/>
  <c r="F311" i="3"/>
  <c r="C312" i="3"/>
  <c r="D312" i="3"/>
  <c r="E312" i="3"/>
  <c r="F312" i="3"/>
  <c r="C313" i="3"/>
  <c r="D313" i="3"/>
  <c r="E313" i="3"/>
  <c r="F313" i="3"/>
  <c r="C314" i="3"/>
  <c r="D314" i="3"/>
  <c r="E314" i="3"/>
  <c r="F314" i="3"/>
  <c r="C315" i="3"/>
  <c r="D315" i="3"/>
  <c r="E315" i="3"/>
  <c r="F315" i="3"/>
  <c r="C316" i="3"/>
  <c r="D316" i="3"/>
  <c r="E316" i="3"/>
  <c r="F316" i="3"/>
  <c r="C317" i="3"/>
  <c r="D317" i="3"/>
  <c r="E317" i="3"/>
  <c r="F317" i="3"/>
  <c r="C318" i="3"/>
  <c r="D318" i="3"/>
  <c r="E318" i="3"/>
  <c r="F318" i="3"/>
  <c r="C319" i="3"/>
  <c r="D319" i="3"/>
  <c r="E319" i="3"/>
  <c r="F319" i="3"/>
  <c r="C320" i="3"/>
  <c r="D320" i="3"/>
  <c r="E320" i="3"/>
  <c r="F320" i="3"/>
  <c r="C321" i="3"/>
  <c r="D321" i="3"/>
  <c r="E321" i="3"/>
  <c r="F321" i="3"/>
  <c r="C322" i="3"/>
  <c r="D322" i="3"/>
  <c r="E322" i="3"/>
  <c r="F322" i="3"/>
  <c r="C323" i="3"/>
  <c r="D323" i="3"/>
  <c r="E323" i="3"/>
  <c r="F323" i="3"/>
  <c r="C324" i="3"/>
  <c r="D324" i="3"/>
  <c r="E324" i="3"/>
  <c r="F324" i="3"/>
  <c r="C325" i="3"/>
  <c r="D325" i="3"/>
  <c r="E325" i="3"/>
  <c r="F325" i="3"/>
  <c r="C326" i="3"/>
  <c r="D326" i="3"/>
  <c r="E326" i="3"/>
  <c r="F326" i="3"/>
  <c r="C327" i="3"/>
  <c r="D327" i="3"/>
  <c r="E327" i="3"/>
  <c r="F327" i="3"/>
  <c r="C328" i="3"/>
  <c r="D328" i="3"/>
  <c r="E328" i="3"/>
  <c r="F328" i="3"/>
  <c r="C329" i="3"/>
  <c r="D329" i="3"/>
  <c r="E329" i="3"/>
  <c r="F329" i="3"/>
  <c r="C330" i="3"/>
  <c r="D330" i="3"/>
  <c r="E330" i="3"/>
  <c r="F330" i="3"/>
  <c r="C331" i="3"/>
  <c r="D331" i="3"/>
  <c r="E331" i="3"/>
  <c r="F331" i="3"/>
  <c r="C332" i="3"/>
  <c r="D332" i="3"/>
  <c r="E332" i="3"/>
  <c r="F332" i="3"/>
  <c r="C333" i="3"/>
  <c r="D333" i="3"/>
  <c r="E333" i="3"/>
  <c r="F333" i="3"/>
  <c r="C334" i="3"/>
  <c r="D334" i="3"/>
  <c r="E334" i="3"/>
  <c r="F334" i="3"/>
  <c r="C335" i="3"/>
  <c r="D335" i="3"/>
  <c r="E335" i="3"/>
  <c r="F335" i="3"/>
  <c r="C336" i="3"/>
  <c r="D336" i="3"/>
  <c r="E336" i="3"/>
  <c r="F336" i="3"/>
  <c r="C337" i="3"/>
  <c r="D337" i="3"/>
  <c r="E337" i="3"/>
  <c r="F337" i="3"/>
  <c r="C338" i="3"/>
  <c r="D338" i="3"/>
  <c r="E338" i="3"/>
  <c r="F338" i="3"/>
  <c r="C339" i="3"/>
  <c r="D339" i="3"/>
  <c r="E339" i="3"/>
  <c r="F339" i="3"/>
  <c r="C340" i="3"/>
  <c r="D340" i="3"/>
  <c r="E340" i="3"/>
  <c r="F340" i="3"/>
  <c r="C341" i="3"/>
  <c r="D341" i="3"/>
  <c r="E341" i="3"/>
  <c r="F341" i="3"/>
  <c r="C342" i="3"/>
  <c r="D342" i="3"/>
  <c r="E342" i="3"/>
  <c r="F342" i="3"/>
  <c r="C343" i="3"/>
  <c r="D343" i="3"/>
  <c r="E343" i="3"/>
  <c r="F343" i="3"/>
  <c r="C344" i="3"/>
  <c r="D344" i="3"/>
  <c r="E344" i="3"/>
  <c r="F344" i="3"/>
  <c r="C345" i="3"/>
  <c r="D345" i="3"/>
  <c r="E345" i="3"/>
  <c r="F345" i="3"/>
  <c r="C346" i="3"/>
  <c r="D346" i="3"/>
  <c r="E346" i="3"/>
  <c r="F346" i="3"/>
  <c r="C347" i="3"/>
  <c r="D347" i="3"/>
  <c r="E347" i="3"/>
  <c r="F347" i="3"/>
  <c r="C348" i="3"/>
  <c r="D348" i="3"/>
  <c r="E348" i="3"/>
  <c r="F348" i="3"/>
  <c r="C349" i="3"/>
  <c r="D349" i="3"/>
  <c r="E349" i="3"/>
  <c r="F349" i="3"/>
  <c r="C350" i="3"/>
  <c r="D350" i="3"/>
  <c r="E350" i="3"/>
  <c r="F350" i="3"/>
  <c r="C351" i="3"/>
  <c r="D351" i="3"/>
  <c r="E351" i="3"/>
  <c r="F351" i="3"/>
  <c r="C352" i="3"/>
  <c r="D352" i="3"/>
  <c r="E352" i="3"/>
  <c r="F352" i="3"/>
  <c r="C353" i="3"/>
  <c r="D353" i="3"/>
  <c r="E353" i="3"/>
  <c r="F353" i="3"/>
  <c r="C354" i="3"/>
  <c r="D354" i="3"/>
  <c r="E354" i="3"/>
  <c r="F354" i="3"/>
  <c r="C355" i="3"/>
  <c r="D355" i="3"/>
  <c r="E355" i="3"/>
  <c r="F355" i="3"/>
  <c r="C356" i="3"/>
  <c r="D356" i="3"/>
  <c r="E356" i="3"/>
  <c r="F356" i="3"/>
  <c r="C357" i="3"/>
  <c r="D357" i="3"/>
  <c r="E357" i="3"/>
  <c r="F357" i="3"/>
  <c r="C358" i="3"/>
  <c r="D358" i="3"/>
  <c r="E358" i="3"/>
  <c r="F358" i="3"/>
  <c r="C359" i="3"/>
  <c r="D359" i="3"/>
  <c r="E359" i="3"/>
  <c r="F359" i="3"/>
  <c r="C360" i="3"/>
  <c r="D360" i="3"/>
  <c r="E360" i="3"/>
  <c r="F360" i="3"/>
  <c r="C361" i="3"/>
  <c r="D361" i="3"/>
  <c r="E361" i="3"/>
  <c r="F361" i="3"/>
  <c r="C362" i="3"/>
  <c r="D362" i="3"/>
  <c r="E362" i="3"/>
  <c r="F362" i="3"/>
  <c r="C363" i="3"/>
  <c r="D363" i="3"/>
  <c r="E363" i="3"/>
  <c r="F363" i="3"/>
  <c r="C364" i="3"/>
  <c r="D364" i="3"/>
  <c r="E364" i="3"/>
  <c r="F364" i="3"/>
  <c r="C365" i="3"/>
  <c r="D365" i="3"/>
  <c r="E365" i="3"/>
  <c r="F365" i="3"/>
  <c r="C366" i="3"/>
  <c r="D366" i="3"/>
  <c r="E366" i="3"/>
  <c r="F366" i="3"/>
  <c r="C367" i="3"/>
  <c r="D367" i="3"/>
  <c r="E367" i="3"/>
  <c r="F367" i="3"/>
  <c r="C368" i="3"/>
  <c r="D368" i="3"/>
  <c r="E368" i="3"/>
  <c r="F368" i="3"/>
  <c r="C369" i="3"/>
  <c r="D369" i="3"/>
  <c r="E369" i="3"/>
  <c r="F369" i="3"/>
  <c r="C370" i="3"/>
  <c r="D370" i="3"/>
  <c r="E370" i="3"/>
  <c r="F370" i="3"/>
  <c r="C371" i="3"/>
  <c r="D371" i="3"/>
  <c r="E371" i="3"/>
  <c r="F371" i="3"/>
  <c r="C372" i="3"/>
  <c r="D372" i="3"/>
  <c r="E372" i="3"/>
  <c r="F372" i="3"/>
  <c r="C373" i="3"/>
  <c r="D373" i="3"/>
  <c r="E373" i="3"/>
  <c r="F373" i="3"/>
  <c r="C374" i="3"/>
  <c r="D374" i="3"/>
  <c r="E374" i="3"/>
  <c r="F374" i="3"/>
  <c r="C375" i="3"/>
  <c r="D375" i="3"/>
  <c r="E375" i="3"/>
  <c r="F375" i="3"/>
  <c r="C376" i="3"/>
  <c r="D376" i="3"/>
  <c r="E376" i="3"/>
  <c r="F376" i="3"/>
  <c r="C377" i="3"/>
  <c r="D377" i="3"/>
  <c r="E377" i="3"/>
  <c r="F377" i="3"/>
  <c r="C378" i="3"/>
  <c r="D378" i="3"/>
  <c r="E378" i="3"/>
  <c r="F378" i="3"/>
  <c r="C379" i="3"/>
  <c r="D379" i="3"/>
  <c r="E379" i="3"/>
  <c r="F379" i="3"/>
  <c r="C380" i="3"/>
  <c r="D380" i="3"/>
  <c r="E380" i="3"/>
  <c r="F380" i="3"/>
  <c r="C381" i="3"/>
  <c r="D381" i="3"/>
  <c r="E381" i="3"/>
  <c r="F381" i="3"/>
  <c r="C382" i="3"/>
  <c r="D382" i="3"/>
  <c r="E382" i="3"/>
  <c r="F382" i="3"/>
  <c r="C383" i="3"/>
  <c r="D383" i="3"/>
  <c r="E383" i="3"/>
  <c r="F383" i="3"/>
  <c r="C384" i="3"/>
  <c r="D384" i="3"/>
  <c r="E384" i="3"/>
  <c r="F384" i="3"/>
  <c r="C385" i="3"/>
  <c r="D385" i="3"/>
  <c r="E385" i="3"/>
  <c r="F385" i="3"/>
  <c r="C386" i="3"/>
  <c r="D386" i="3"/>
  <c r="E386" i="3"/>
  <c r="F386" i="3"/>
  <c r="C387" i="3"/>
  <c r="D387" i="3"/>
  <c r="E387" i="3"/>
  <c r="F387" i="3"/>
  <c r="C388" i="3"/>
  <c r="D388" i="3"/>
  <c r="E388" i="3"/>
  <c r="F388" i="3"/>
  <c r="C389" i="3"/>
  <c r="D389" i="3"/>
  <c r="E389" i="3"/>
  <c r="F389" i="3"/>
  <c r="C390" i="3"/>
  <c r="D390" i="3"/>
  <c r="E390" i="3"/>
  <c r="F390" i="3"/>
  <c r="C391" i="3"/>
  <c r="D391" i="3"/>
  <c r="E391" i="3"/>
  <c r="F391" i="3"/>
  <c r="C392" i="3"/>
  <c r="D392" i="3"/>
  <c r="E392" i="3"/>
  <c r="F392" i="3"/>
  <c r="C393" i="3"/>
  <c r="D393" i="3"/>
  <c r="E393" i="3"/>
  <c r="F393" i="3"/>
  <c r="C394" i="3"/>
  <c r="D394" i="3"/>
  <c r="E394" i="3"/>
  <c r="F394" i="3"/>
  <c r="C395" i="3"/>
  <c r="D395" i="3"/>
  <c r="E395" i="3"/>
  <c r="F395" i="3"/>
  <c r="C396" i="3"/>
  <c r="D396" i="3"/>
  <c r="E396" i="3"/>
  <c r="F396" i="3"/>
  <c r="C397" i="3"/>
  <c r="D397" i="3"/>
  <c r="E397" i="3"/>
  <c r="F397" i="3"/>
  <c r="C398" i="3"/>
  <c r="D398" i="3"/>
  <c r="E398" i="3"/>
  <c r="F398" i="3"/>
  <c r="C399" i="3"/>
  <c r="D399" i="3"/>
  <c r="E399" i="3"/>
  <c r="F399" i="3"/>
  <c r="C400" i="3"/>
  <c r="D400" i="3"/>
  <c r="E400" i="3"/>
  <c r="F400" i="3"/>
  <c r="C401" i="3"/>
  <c r="D401" i="3"/>
  <c r="E401" i="3"/>
  <c r="F401" i="3"/>
  <c r="C402" i="3"/>
  <c r="D402" i="3"/>
  <c r="E402" i="3"/>
  <c r="F402" i="3"/>
  <c r="C403" i="3"/>
  <c r="D403" i="3"/>
  <c r="E403" i="3"/>
  <c r="F403" i="3"/>
  <c r="C404" i="3"/>
  <c r="D404" i="3"/>
  <c r="E404" i="3"/>
  <c r="F404" i="3"/>
  <c r="C405" i="3"/>
  <c r="D405" i="3"/>
  <c r="E405" i="3"/>
  <c r="F405" i="3"/>
  <c r="C406" i="3"/>
  <c r="D406" i="3"/>
  <c r="E406" i="3"/>
  <c r="F406" i="3"/>
  <c r="C407" i="3"/>
  <c r="D407" i="3"/>
  <c r="E407" i="3"/>
  <c r="F407" i="3"/>
  <c r="C408" i="3"/>
  <c r="D408" i="3"/>
  <c r="E408" i="3"/>
  <c r="F408" i="3"/>
  <c r="C409" i="3"/>
  <c r="D409" i="3"/>
  <c r="E409" i="3"/>
  <c r="F409" i="3"/>
  <c r="C410" i="3"/>
  <c r="D410" i="3"/>
  <c r="E410" i="3"/>
  <c r="F410" i="3"/>
  <c r="C411" i="3"/>
  <c r="D411" i="3"/>
  <c r="E411" i="3"/>
  <c r="F411" i="3"/>
  <c r="C412" i="3"/>
  <c r="D412" i="3"/>
  <c r="E412" i="3"/>
  <c r="F412" i="3"/>
  <c r="C413" i="3"/>
  <c r="D413" i="3"/>
  <c r="E413" i="3"/>
  <c r="F413" i="3"/>
  <c r="C414" i="3"/>
  <c r="D414" i="3"/>
  <c r="E414" i="3"/>
  <c r="F414" i="3"/>
  <c r="C415" i="3"/>
  <c r="D415" i="3"/>
  <c r="E415" i="3"/>
  <c r="F415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<sst xmlns="http://schemas.openxmlformats.org/spreadsheetml/2006/main" count="26" uniqueCount="23">
  <si>
    <t>What is the maximum value you think you would pay for a product on each of the following categories: - Rent for a room in a shared apartment - Maximum price you would pay:</t>
  </si>
  <si>
    <t>What is the maximum value you think you would pay for a product on each of the following categories: - Air Fryer (Groceries product) - Maximum price you would pay:</t>
  </si>
  <si>
    <t>What is the maximum value you think you would pay for a product on each of the following categories: - Noise Cancelling Headphones (School supply product) - Maximum price you would pay:</t>
  </si>
  <si>
    <t>On my honor, I, Josh Cha,have neither given nor received unauthorized aid in doing this assignment.</t>
  </si>
  <si>
    <t>Number of elements (N)</t>
  </si>
  <si>
    <t>Maximum value</t>
  </si>
  <si>
    <t>Minimum value</t>
  </si>
  <si>
    <t>Range = Max – Min</t>
  </si>
  <si>
    <t>Mean</t>
  </si>
  <si>
    <t>Median</t>
  </si>
  <si>
    <t>Mode (if applicable)</t>
  </si>
  <si>
    <t>Sample Variance</t>
  </si>
  <si>
    <t>Sample Standard Deviation</t>
  </si>
  <si>
    <t xml:space="preserve">Mean </t>
  </si>
  <si>
    <t>Mode</t>
  </si>
  <si>
    <t>Maximum rent price you would pay</t>
  </si>
  <si>
    <t># of bins</t>
  </si>
  <si>
    <t>width</t>
  </si>
  <si>
    <t>median +100</t>
  </si>
  <si>
    <t>median -100</t>
  </si>
  <si>
    <t>range</t>
  </si>
  <si>
    <t>bin width</t>
  </si>
  <si>
    <t>*** I deleted the outlier $100,000 so that the chart is more readable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</si>
</sst>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" fontId="0" fillId="0" borderId="0" xfId="0" applyNumberFormat="1"/>
    <xf numFmtId="0" fontId="0" fillId="0" borderId="0" xfId="0" applyAlignment="1"/>
    <xf numFmtId="4" fontId="0" fillId="0" borderId="0" xfId="0" applyNumberFormat="1" applyAlignment="1"/>
    <xf numFmtId="3" fontId="0" fillId="0" borderId="0" xfId="0" applyNumberFormat="1" applyAlignme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Maximum price you would</a:t>
            </a:r>
            <a:r>
              <a:rPr lang="en-US" baseline="0"/>
              <a:t> pay </a:t>
            </a:r>
            <a:r>
              <a:rPr lang="en-US"/>
              <a:t>for a room in a shared apartment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'Prepared Data'!$A$1</c:f>
              <c:strCache>
                <c:ptCount val="1"/>
                <c:pt idx="0">
                  <c:v>Maximum rent price you would pay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'Prepared Data'!$A$2:$A$415</c:f>
              <c:numCache>
                <c:formatCode>General</c:formatCode>
                <c:ptCount val="414"/>
                <c:pt idx="0" formatCode="#,##0.00">
                  <c:v>3000</c:v>
                </c:pt>
                <c:pt idx="1">
                  <c:v>1800</c:v>
                </c:pt>
                <c:pt idx="2">
                  <c:v>1200</c:v>
                </c:pt>
                <c:pt idx="3">
                  <c:v>1200</c:v>
                </c:pt>
                <c:pt idx="4">
                  <c:v>800</c:v>
                </c:pt>
                <c:pt idx="5" formatCode="#,##0">
                  <c:v>1450</c:v>
                </c:pt>
                <c:pt idx="6">
                  <c:v>1000</c:v>
                </c:pt>
                <c:pt idx="7">
                  <c:v>800</c:v>
                </c:pt>
                <c:pt idx="8">
                  <c:v>1200</c:v>
                </c:pt>
                <c:pt idx="9">
                  <c:v>1200</c:v>
                </c:pt>
                <c:pt idx="10">
                  <c:v>1000</c:v>
                </c:pt>
                <c:pt idx="11">
                  <c:v>475</c:v>
                </c:pt>
                <c:pt idx="12">
                  <c:v>900</c:v>
                </c:pt>
                <c:pt idx="13">
                  <c:v>900</c:v>
                </c:pt>
                <c:pt idx="14">
                  <c:v>1000</c:v>
                </c:pt>
                <c:pt idx="15">
                  <c:v>850</c:v>
                </c:pt>
                <c:pt idx="16">
                  <c:v>1500</c:v>
                </c:pt>
                <c:pt idx="17">
                  <c:v>1200</c:v>
                </c:pt>
                <c:pt idx="18">
                  <c:v>1000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2500</c:v>
                </c:pt>
                <c:pt idx="23">
                  <c:v>1400</c:v>
                </c:pt>
                <c:pt idx="24">
                  <c:v>3500</c:v>
                </c:pt>
                <c:pt idx="25">
                  <c:v>1000</c:v>
                </c:pt>
                <c:pt idx="26">
                  <c:v>1300</c:v>
                </c:pt>
                <c:pt idx="27">
                  <c:v>200</c:v>
                </c:pt>
                <c:pt idx="28">
                  <c:v>1700</c:v>
                </c:pt>
                <c:pt idx="29">
                  <c:v>1700</c:v>
                </c:pt>
                <c:pt idx="30">
                  <c:v>1200</c:v>
                </c:pt>
                <c:pt idx="31">
                  <c:v>900</c:v>
                </c:pt>
                <c:pt idx="32">
                  <c:v>2000</c:v>
                </c:pt>
                <c:pt idx="33">
                  <c:v>1500</c:v>
                </c:pt>
                <c:pt idx="34">
                  <c:v>1200</c:v>
                </c:pt>
                <c:pt idx="35">
                  <c:v>900</c:v>
                </c:pt>
                <c:pt idx="36">
                  <c:v>1000</c:v>
                </c:pt>
                <c:pt idx="37">
                  <c:v>2000</c:v>
                </c:pt>
                <c:pt idx="38">
                  <c:v>1500</c:v>
                </c:pt>
                <c:pt idx="39">
                  <c:v>1100</c:v>
                </c:pt>
                <c:pt idx="40">
                  <c:v>770</c:v>
                </c:pt>
                <c:pt idx="41">
                  <c:v>800</c:v>
                </c:pt>
                <c:pt idx="42">
                  <c:v>1300</c:v>
                </c:pt>
                <c:pt idx="43">
                  <c:v>1500</c:v>
                </c:pt>
                <c:pt idx="44">
                  <c:v>1200</c:v>
                </c:pt>
                <c:pt idx="45">
                  <c:v>1400</c:v>
                </c:pt>
                <c:pt idx="46">
                  <c:v>1400</c:v>
                </c:pt>
                <c:pt idx="47">
                  <c:v>1200</c:v>
                </c:pt>
                <c:pt idx="48">
                  <c:v>1500</c:v>
                </c:pt>
                <c:pt idx="49">
                  <c:v>100</c:v>
                </c:pt>
                <c:pt idx="50">
                  <c:v>600</c:v>
                </c:pt>
                <c:pt idx="51">
                  <c:v>1400</c:v>
                </c:pt>
                <c:pt idx="52">
                  <c:v>1300</c:v>
                </c:pt>
                <c:pt idx="53">
                  <c:v>900</c:v>
                </c:pt>
                <c:pt idx="54">
                  <c:v>1500</c:v>
                </c:pt>
                <c:pt idx="55">
                  <c:v>1500</c:v>
                </c:pt>
                <c:pt idx="56">
                  <c:v>800</c:v>
                </c:pt>
                <c:pt idx="57">
                  <c:v>600</c:v>
                </c:pt>
                <c:pt idx="58">
                  <c:v>1200</c:v>
                </c:pt>
                <c:pt idx="59">
                  <c:v>2000</c:v>
                </c:pt>
                <c:pt idx="60">
                  <c:v>1500</c:v>
                </c:pt>
                <c:pt idx="61" formatCode="#,##0">
                  <c:v>1000</c:v>
                </c:pt>
                <c:pt idx="62">
                  <c:v>1000</c:v>
                </c:pt>
                <c:pt idx="63">
                  <c:v>1000</c:v>
                </c:pt>
                <c:pt idx="64">
                  <c:v>2500</c:v>
                </c:pt>
                <c:pt idx="65">
                  <c:v>1300</c:v>
                </c:pt>
                <c:pt idx="66">
                  <c:v>1500</c:v>
                </c:pt>
                <c:pt idx="67">
                  <c:v>600</c:v>
                </c:pt>
                <c:pt idx="68">
                  <c:v>650</c:v>
                </c:pt>
                <c:pt idx="69" formatCode="#,##0">
                  <c:v>1800</c:v>
                </c:pt>
                <c:pt idx="70">
                  <c:v>1000</c:v>
                </c:pt>
                <c:pt idx="71">
                  <c:v>1000</c:v>
                </c:pt>
                <c:pt idx="72">
                  <c:v>1000</c:v>
                </c:pt>
                <c:pt idx="73">
                  <c:v>1500</c:v>
                </c:pt>
                <c:pt idx="74">
                  <c:v>900</c:v>
                </c:pt>
                <c:pt idx="75">
                  <c:v>1500</c:v>
                </c:pt>
                <c:pt idx="76">
                  <c:v>1500</c:v>
                </c:pt>
                <c:pt idx="77">
                  <c:v>1500</c:v>
                </c:pt>
                <c:pt idx="78" formatCode="#,##0">
                  <c:v>1900</c:v>
                </c:pt>
                <c:pt idx="79">
                  <c:v>1100</c:v>
                </c:pt>
                <c:pt idx="80">
                  <c:v>1000</c:v>
                </c:pt>
                <c:pt idx="81">
                  <c:v>1500</c:v>
                </c:pt>
                <c:pt idx="82">
                  <c:v>850</c:v>
                </c:pt>
                <c:pt idx="83">
                  <c:v>1900</c:v>
                </c:pt>
                <c:pt idx="84">
                  <c:v>1300</c:v>
                </c:pt>
                <c:pt idx="85">
                  <c:v>1500</c:v>
                </c:pt>
                <c:pt idx="86">
                  <c:v>1200</c:v>
                </c:pt>
                <c:pt idx="87">
                  <c:v>900</c:v>
                </c:pt>
                <c:pt idx="88">
                  <c:v>1000</c:v>
                </c:pt>
                <c:pt idx="89">
                  <c:v>2000</c:v>
                </c:pt>
                <c:pt idx="90">
                  <c:v>2000</c:v>
                </c:pt>
                <c:pt idx="91">
                  <c:v>1600</c:v>
                </c:pt>
                <c:pt idx="92">
                  <c:v>1200</c:v>
                </c:pt>
                <c:pt idx="93">
                  <c:v>750</c:v>
                </c:pt>
                <c:pt idx="94">
                  <c:v>1750</c:v>
                </c:pt>
                <c:pt idx="95">
                  <c:v>1200</c:v>
                </c:pt>
                <c:pt idx="96">
                  <c:v>1000</c:v>
                </c:pt>
                <c:pt idx="97">
                  <c:v>2000</c:v>
                </c:pt>
                <c:pt idx="98">
                  <c:v>1500</c:v>
                </c:pt>
                <c:pt idx="99">
                  <c:v>1500</c:v>
                </c:pt>
                <c:pt idx="100">
                  <c:v>1500</c:v>
                </c:pt>
                <c:pt idx="101">
                  <c:v>1100</c:v>
                </c:pt>
                <c:pt idx="102">
                  <c:v>800</c:v>
                </c:pt>
                <c:pt idx="103">
                  <c:v>1400</c:v>
                </c:pt>
                <c:pt idx="104">
                  <c:v>900</c:v>
                </c:pt>
                <c:pt idx="105">
                  <c:v>850</c:v>
                </c:pt>
                <c:pt idx="106">
                  <c:v>1200</c:v>
                </c:pt>
                <c:pt idx="107">
                  <c:v>1000</c:v>
                </c:pt>
                <c:pt idx="108">
                  <c:v>1450</c:v>
                </c:pt>
                <c:pt idx="109">
                  <c:v>1200</c:v>
                </c:pt>
                <c:pt idx="110">
                  <c:v>1300</c:v>
                </c:pt>
                <c:pt idx="111">
                  <c:v>1000</c:v>
                </c:pt>
                <c:pt idx="112" formatCode="#,##0">
                  <c:v>1000</c:v>
                </c:pt>
                <c:pt idx="113">
                  <c:v>2000</c:v>
                </c:pt>
                <c:pt idx="114">
                  <c:v>5000</c:v>
                </c:pt>
                <c:pt idx="115">
                  <c:v>850</c:v>
                </c:pt>
                <c:pt idx="116" formatCode="#,##0">
                  <c:v>2000</c:v>
                </c:pt>
                <c:pt idx="117">
                  <c:v>2000</c:v>
                </c:pt>
                <c:pt idx="118">
                  <c:v>500</c:v>
                </c:pt>
                <c:pt idx="119">
                  <c:v>6000</c:v>
                </c:pt>
                <c:pt idx="120">
                  <c:v>900</c:v>
                </c:pt>
                <c:pt idx="121">
                  <c:v>1500</c:v>
                </c:pt>
                <c:pt idx="122">
                  <c:v>1500</c:v>
                </c:pt>
                <c:pt idx="123">
                  <c:v>1200</c:v>
                </c:pt>
                <c:pt idx="124">
                  <c:v>2000</c:v>
                </c:pt>
                <c:pt idx="125">
                  <c:v>1300</c:v>
                </c:pt>
                <c:pt idx="126">
                  <c:v>700</c:v>
                </c:pt>
                <c:pt idx="127">
                  <c:v>1100</c:v>
                </c:pt>
                <c:pt idx="128">
                  <c:v>1100</c:v>
                </c:pt>
                <c:pt idx="129">
                  <c:v>700</c:v>
                </c:pt>
                <c:pt idx="130">
                  <c:v>1200</c:v>
                </c:pt>
                <c:pt idx="131">
                  <c:v>1700</c:v>
                </c:pt>
                <c:pt idx="132">
                  <c:v>800</c:v>
                </c:pt>
                <c:pt idx="133">
                  <c:v>1400</c:v>
                </c:pt>
                <c:pt idx="134">
                  <c:v>1400</c:v>
                </c:pt>
                <c:pt idx="135">
                  <c:v>1200</c:v>
                </c:pt>
                <c:pt idx="136">
                  <c:v>5000</c:v>
                </c:pt>
                <c:pt idx="137">
                  <c:v>1500</c:v>
                </c:pt>
                <c:pt idx="138">
                  <c:v>700</c:v>
                </c:pt>
                <c:pt idx="139" formatCode="#,##0">
                  <c:v>3000</c:v>
                </c:pt>
                <c:pt idx="140">
                  <c:v>1000</c:v>
                </c:pt>
                <c:pt idx="141">
                  <c:v>1000</c:v>
                </c:pt>
                <c:pt idx="142">
                  <c:v>4000</c:v>
                </c:pt>
                <c:pt idx="143">
                  <c:v>1200</c:v>
                </c:pt>
                <c:pt idx="144">
                  <c:v>2000</c:v>
                </c:pt>
                <c:pt idx="145">
                  <c:v>1300</c:v>
                </c:pt>
                <c:pt idx="146">
                  <c:v>700</c:v>
                </c:pt>
                <c:pt idx="147">
                  <c:v>1050</c:v>
                </c:pt>
                <c:pt idx="148">
                  <c:v>1500</c:v>
                </c:pt>
                <c:pt idx="149" formatCode="#,##0">
                  <c:v>1100</c:v>
                </c:pt>
                <c:pt idx="150" formatCode="#,##0">
                  <c:v>1100</c:v>
                </c:pt>
                <c:pt idx="151">
                  <c:v>1000</c:v>
                </c:pt>
                <c:pt idx="152">
                  <c:v>1000</c:v>
                </c:pt>
                <c:pt idx="153">
                  <c:v>1500</c:v>
                </c:pt>
                <c:pt idx="154">
                  <c:v>750</c:v>
                </c:pt>
                <c:pt idx="155">
                  <c:v>1300</c:v>
                </c:pt>
                <c:pt idx="156">
                  <c:v>1500</c:v>
                </c:pt>
                <c:pt idx="157">
                  <c:v>1500</c:v>
                </c:pt>
                <c:pt idx="158">
                  <c:v>1400</c:v>
                </c:pt>
                <c:pt idx="159" formatCode="#,##0.00">
                  <c:v>1289.25</c:v>
                </c:pt>
                <c:pt idx="160">
                  <c:v>2000</c:v>
                </c:pt>
                <c:pt idx="161">
                  <c:v>1800</c:v>
                </c:pt>
                <c:pt idx="162">
                  <c:v>1100</c:v>
                </c:pt>
                <c:pt idx="163">
                  <c:v>1000</c:v>
                </c:pt>
                <c:pt idx="164">
                  <c:v>2000</c:v>
                </c:pt>
                <c:pt idx="165">
                  <c:v>1200</c:v>
                </c:pt>
                <c:pt idx="166">
                  <c:v>1400</c:v>
                </c:pt>
                <c:pt idx="167">
                  <c:v>1200</c:v>
                </c:pt>
                <c:pt idx="168">
                  <c:v>700</c:v>
                </c:pt>
                <c:pt idx="169">
                  <c:v>950</c:v>
                </c:pt>
                <c:pt idx="170">
                  <c:v>2500</c:v>
                </c:pt>
                <c:pt idx="171" formatCode="#,##0">
                  <c:v>1400</c:v>
                </c:pt>
                <c:pt idx="172">
                  <c:v>1200</c:v>
                </c:pt>
                <c:pt idx="173">
                  <c:v>1500</c:v>
                </c:pt>
                <c:pt idx="174">
                  <c:v>2500</c:v>
                </c:pt>
                <c:pt idx="175">
                  <c:v>1200</c:v>
                </c:pt>
                <c:pt idx="176">
                  <c:v>1200</c:v>
                </c:pt>
                <c:pt idx="177">
                  <c:v>1250</c:v>
                </c:pt>
                <c:pt idx="178">
                  <c:v>800</c:v>
                </c:pt>
                <c:pt idx="179">
                  <c:v>1000</c:v>
                </c:pt>
                <c:pt idx="180">
                  <c:v>2000</c:v>
                </c:pt>
                <c:pt idx="181">
                  <c:v>800</c:v>
                </c:pt>
                <c:pt idx="182">
                  <c:v>2000</c:v>
                </c:pt>
                <c:pt idx="183">
                  <c:v>1500</c:v>
                </c:pt>
                <c:pt idx="184">
                  <c:v>700</c:v>
                </c:pt>
                <c:pt idx="185">
                  <c:v>1500</c:v>
                </c:pt>
                <c:pt idx="186">
                  <c:v>1200</c:v>
                </c:pt>
                <c:pt idx="187">
                  <c:v>1800</c:v>
                </c:pt>
                <c:pt idx="188">
                  <c:v>1200</c:v>
                </c:pt>
                <c:pt idx="189">
                  <c:v>1200</c:v>
                </c:pt>
                <c:pt idx="190">
                  <c:v>800</c:v>
                </c:pt>
                <c:pt idx="191">
                  <c:v>1500</c:v>
                </c:pt>
                <c:pt idx="192">
                  <c:v>1100</c:v>
                </c:pt>
                <c:pt idx="193">
                  <c:v>800</c:v>
                </c:pt>
                <c:pt idx="194">
                  <c:v>2000</c:v>
                </c:pt>
                <c:pt idx="195">
                  <c:v>1200</c:v>
                </c:pt>
                <c:pt idx="196">
                  <c:v>1500</c:v>
                </c:pt>
                <c:pt idx="197">
                  <c:v>1500</c:v>
                </c:pt>
                <c:pt idx="198">
                  <c:v>1000</c:v>
                </c:pt>
                <c:pt idx="199">
                  <c:v>1600</c:v>
                </c:pt>
                <c:pt idx="200" formatCode="#,##0">
                  <c:v>2500</c:v>
                </c:pt>
                <c:pt idx="201" formatCode="#,##0">
                  <c:v>1750</c:v>
                </c:pt>
                <c:pt idx="202" formatCode="#,##0">
                  <c:v>1300</c:v>
                </c:pt>
                <c:pt idx="203">
                  <c:v>900</c:v>
                </c:pt>
                <c:pt idx="204">
                  <c:v>1200</c:v>
                </c:pt>
                <c:pt idx="205">
                  <c:v>1100</c:v>
                </c:pt>
                <c:pt idx="206">
                  <c:v>700</c:v>
                </c:pt>
                <c:pt idx="207">
                  <c:v>1500</c:v>
                </c:pt>
                <c:pt idx="208">
                  <c:v>1500</c:v>
                </c:pt>
                <c:pt idx="209">
                  <c:v>1100</c:v>
                </c:pt>
                <c:pt idx="210">
                  <c:v>1000</c:v>
                </c:pt>
                <c:pt idx="211">
                  <c:v>600</c:v>
                </c:pt>
                <c:pt idx="212">
                  <c:v>1000</c:v>
                </c:pt>
                <c:pt idx="213">
                  <c:v>1500</c:v>
                </c:pt>
                <c:pt idx="214">
                  <c:v>1700</c:v>
                </c:pt>
                <c:pt idx="215">
                  <c:v>1200</c:v>
                </c:pt>
                <c:pt idx="216">
                  <c:v>1500</c:v>
                </c:pt>
                <c:pt idx="217">
                  <c:v>1200</c:v>
                </c:pt>
                <c:pt idx="218">
                  <c:v>1300</c:v>
                </c:pt>
                <c:pt idx="219">
                  <c:v>1000</c:v>
                </c:pt>
                <c:pt idx="220">
                  <c:v>2000</c:v>
                </c:pt>
                <c:pt idx="221">
                  <c:v>1500</c:v>
                </c:pt>
                <c:pt idx="222">
                  <c:v>2500</c:v>
                </c:pt>
                <c:pt idx="223">
                  <c:v>950</c:v>
                </c:pt>
                <c:pt idx="224">
                  <c:v>1200</c:v>
                </c:pt>
                <c:pt idx="225">
                  <c:v>1500</c:v>
                </c:pt>
                <c:pt idx="226">
                  <c:v>2400</c:v>
                </c:pt>
                <c:pt idx="227">
                  <c:v>1000</c:v>
                </c:pt>
                <c:pt idx="228">
                  <c:v>1000</c:v>
                </c:pt>
                <c:pt idx="229">
                  <c:v>1200</c:v>
                </c:pt>
                <c:pt idx="230">
                  <c:v>1600</c:v>
                </c:pt>
                <c:pt idx="231">
                  <c:v>1600</c:v>
                </c:pt>
                <c:pt idx="232">
                  <c:v>1600</c:v>
                </c:pt>
                <c:pt idx="233">
                  <c:v>1200</c:v>
                </c:pt>
                <c:pt idx="234">
                  <c:v>1100</c:v>
                </c:pt>
                <c:pt idx="235">
                  <c:v>1500</c:v>
                </c:pt>
                <c:pt idx="236">
                  <c:v>1500</c:v>
                </c:pt>
                <c:pt idx="237">
                  <c:v>800</c:v>
                </c:pt>
                <c:pt idx="238">
                  <c:v>800</c:v>
                </c:pt>
                <c:pt idx="239">
                  <c:v>3000</c:v>
                </c:pt>
                <c:pt idx="240">
                  <c:v>2000</c:v>
                </c:pt>
                <c:pt idx="241" formatCode="#,##0">
                  <c:v>1000</c:v>
                </c:pt>
                <c:pt idx="242">
                  <c:v>1500</c:v>
                </c:pt>
                <c:pt idx="243">
                  <c:v>1600</c:v>
                </c:pt>
                <c:pt idx="244">
                  <c:v>700</c:v>
                </c:pt>
                <c:pt idx="245">
                  <c:v>1500</c:v>
                </c:pt>
                <c:pt idx="246">
                  <c:v>1500</c:v>
                </c:pt>
                <c:pt idx="247">
                  <c:v>1300</c:v>
                </c:pt>
                <c:pt idx="248">
                  <c:v>1010</c:v>
                </c:pt>
                <c:pt idx="249">
                  <c:v>4109</c:v>
                </c:pt>
                <c:pt idx="250">
                  <c:v>900</c:v>
                </c:pt>
                <c:pt idx="251">
                  <c:v>4109</c:v>
                </c:pt>
                <c:pt idx="252">
                  <c:v>1020</c:v>
                </c:pt>
                <c:pt idx="253">
                  <c:v>1400</c:v>
                </c:pt>
                <c:pt idx="254">
                  <c:v>600</c:v>
                </c:pt>
                <c:pt idx="255">
                  <c:v>1600</c:v>
                </c:pt>
                <c:pt idx="256">
                  <c:v>3000</c:v>
                </c:pt>
                <c:pt idx="257">
                  <c:v>100</c:v>
                </c:pt>
                <c:pt idx="258">
                  <c:v>750</c:v>
                </c:pt>
                <c:pt idx="259">
                  <c:v>1000</c:v>
                </c:pt>
                <c:pt idx="260">
                  <c:v>1200</c:v>
                </c:pt>
                <c:pt idx="261">
                  <c:v>2450</c:v>
                </c:pt>
                <c:pt idx="262">
                  <c:v>800</c:v>
                </c:pt>
                <c:pt idx="263" formatCode="#,##0">
                  <c:v>1000</c:v>
                </c:pt>
                <c:pt idx="264">
                  <c:v>1100</c:v>
                </c:pt>
                <c:pt idx="265">
                  <c:v>1500</c:v>
                </c:pt>
                <c:pt idx="266">
                  <c:v>750</c:v>
                </c:pt>
                <c:pt idx="267">
                  <c:v>1300</c:v>
                </c:pt>
                <c:pt idx="268" formatCode="#,##0">
                  <c:v>1150</c:v>
                </c:pt>
                <c:pt idx="269">
                  <c:v>1400</c:v>
                </c:pt>
                <c:pt idx="270">
                  <c:v>1200</c:v>
                </c:pt>
                <c:pt idx="271">
                  <c:v>900</c:v>
                </c:pt>
                <c:pt idx="272">
                  <c:v>1200</c:v>
                </c:pt>
                <c:pt idx="273">
                  <c:v>1500</c:v>
                </c:pt>
                <c:pt idx="274">
                  <c:v>1300</c:v>
                </c:pt>
                <c:pt idx="275">
                  <c:v>1300</c:v>
                </c:pt>
                <c:pt idx="276" formatCode="#,##0">
                  <c:v>1000</c:v>
                </c:pt>
                <c:pt idx="277">
                  <c:v>3000</c:v>
                </c:pt>
                <c:pt idx="278">
                  <c:v>1000</c:v>
                </c:pt>
                <c:pt idx="279">
                  <c:v>600</c:v>
                </c:pt>
                <c:pt idx="280">
                  <c:v>1500</c:v>
                </c:pt>
                <c:pt idx="281">
                  <c:v>1000</c:v>
                </c:pt>
                <c:pt idx="282">
                  <c:v>3000</c:v>
                </c:pt>
                <c:pt idx="283">
                  <c:v>1000</c:v>
                </c:pt>
                <c:pt idx="284">
                  <c:v>1200</c:v>
                </c:pt>
                <c:pt idx="285">
                  <c:v>1000</c:v>
                </c:pt>
                <c:pt idx="286">
                  <c:v>2000</c:v>
                </c:pt>
                <c:pt idx="287">
                  <c:v>900</c:v>
                </c:pt>
                <c:pt idx="288">
                  <c:v>1200</c:v>
                </c:pt>
                <c:pt idx="289">
                  <c:v>1000</c:v>
                </c:pt>
                <c:pt idx="290">
                  <c:v>800</c:v>
                </c:pt>
                <c:pt idx="291">
                  <c:v>1300</c:v>
                </c:pt>
                <c:pt idx="292">
                  <c:v>750</c:v>
                </c:pt>
                <c:pt idx="293">
                  <c:v>500</c:v>
                </c:pt>
                <c:pt idx="294">
                  <c:v>800</c:v>
                </c:pt>
                <c:pt idx="295">
                  <c:v>600</c:v>
                </c:pt>
                <c:pt idx="296">
                  <c:v>1000</c:v>
                </c:pt>
                <c:pt idx="297">
                  <c:v>600</c:v>
                </c:pt>
                <c:pt idx="298">
                  <c:v>900</c:v>
                </c:pt>
                <c:pt idx="299">
                  <c:v>600</c:v>
                </c:pt>
                <c:pt idx="300">
                  <c:v>1500</c:v>
                </c:pt>
                <c:pt idx="301">
                  <c:v>1300</c:v>
                </c:pt>
                <c:pt idx="302">
                  <c:v>1000</c:v>
                </c:pt>
                <c:pt idx="303">
                  <c:v>1500</c:v>
                </c:pt>
                <c:pt idx="304">
                  <c:v>1000</c:v>
                </c:pt>
                <c:pt idx="305">
                  <c:v>500</c:v>
                </c:pt>
                <c:pt idx="306">
                  <c:v>500</c:v>
                </c:pt>
                <c:pt idx="307">
                  <c:v>100000</c:v>
                </c:pt>
                <c:pt idx="308">
                  <c:v>1000</c:v>
                </c:pt>
                <c:pt idx="309">
                  <c:v>3000</c:v>
                </c:pt>
                <c:pt idx="310">
                  <c:v>1000</c:v>
                </c:pt>
                <c:pt idx="311">
                  <c:v>1300</c:v>
                </c:pt>
                <c:pt idx="312">
                  <c:v>950</c:v>
                </c:pt>
                <c:pt idx="313">
                  <c:v>1500</c:v>
                </c:pt>
                <c:pt idx="314">
                  <c:v>1000</c:v>
                </c:pt>
                <c:pt idx="315">
                  <c:v>1500</c:v>
                </c:pt>
                <c:pt idx="316">
                  <c:v>500</c:v>
                </c:pt>
                <c:pt idx="317">
                  <c:v>600</c:v>
                </c:pt>
                <c:pt idx="318">
                  <c:v>1800</c:v>
                </c:pt>
                <c:pt idx="319">
                  <c:v>2000</c:v>
                </c:pt>
                <c:pt idx="320">
                  <c:v>1600</c:v>
                </c:pt>
                <c:pt idx="321">
                  <c:v>2300</c:v>
                </c:pt>
                <c:pt idx="322">
                  <c:v>800</c:v>
                </c:pt>
                <c:pt idx="323">
                  <c:v>1600</c:v>
                </c:pt>
                <c:pt idx="324">
                  <c:v>850</c:v>
                </c:pt>
                <c:pt idx="325">
                  <c:v>1500</c:v>
                </c:pt>
                <c:pt idx="326">
                  <c:v>1500</c:v>
                </c:pt>
                <c:pt idx="327">
                  <c:v>1200</c:v>
                </c:pt>
                <c:pt idx="328">
                  <c:v>3000</c:v>
                </c:pt>
                <c:pt idx="329">
                  <c:v>1100</c:v>
                </c:pt>
                <c:pt idx="330">
                  <c:v>800</c:v>
                </c:pt>
                <c:pt idx="331">
                  <c:v>1350</c:v>
                </c:pt>
                <c:pt idx="332" formatCode="#,##0">
                  <c:v>2750</c:v>
                </c:pt>
                <c:pt idx="333">
                  <c:v>1300</c:v>
                </c:pt>
                <c:pt idx="334">
                  <c:v>750</c:v>
                </c:pt>
                <c:pt idx="335">
                  <c:v>1700</c:v>
                </c:pt>
                <c:pt idx="336">
                  <c:v>2000</c:v>
                </c:pt>
                <c:pt idx="337">
                  <c:v>3000</c:v>
                </c:pt>
                <c:pt idx="338">
                  <c:v>1500</c:v>
                </c:pt>
                <c:pt idx="339">
                  <c:v>650</c:v>
                </c:pt>
                <c:pt idx="340">
                  <c:v>1300</c:v>
                </c:pt>
                <c:pt idx="341">
                  <c:v>1500</c:v>
                </c:pt>
                <c:pt idx="342">
                  <c:v>1500</c:v>
                </c:pt>
                <c:pt idx="343">
                  <c:v>800</c:v>
                </c:pt>
                <c:pt idx="344">
                  <c:v>1000</c:v>
                </c:pt>
                <c:pt idx="345">
                  <c:v>1800</c:v>
                </c:pt>
                <c:pt idx="346">
                  <c:v>1000</c:v>
                </c:pt>
                <c:pt idx="347" formatCode="#,##0">
                  <c:v>1300</c:v>
                </c:pt>
                <c:pt idx="348">
                  <c:v>1500</c:v>
                </c:pt>
                <c:pt idx="349">
                  <c:v>900</c:v>
                </c:pt>
                <c:pt idx="350">
                  <c:v>1500</c:v>
                </c:pt>
                <c:pt idx="351">
                  <c:v>1200</c:v>
                </c:pt>
                <c:pt idx="352">
                  <c:v>4000</c:v>
                </c:pt>
                <c:pt idx="353">
                  <c:v>1250</c:v>
                </c:pt>
                <c:pt idx="354" formatCode="#,##0">
                  <c:v>2000</c:v>
                </c:pt>
                <c:pt idx="355">
                  <c:v>1300</c:v>
                </c:pt>
                <c:pt idx="356" formatCode="#,##0">
                  <c:v>1000</c:v>
                </c:pt>
                <c:pt idx="357">
                  <c:v>1500</c:v>
                </c:pt>
                <c:pt idx="358">
                  <c:v>800</c:v>
                </c:pt>
                <c:pt idx="359">
                  <c:v>1400</c:v>
                </c:pt>
                <c:pt idx="360" formatCode="#,##0">
                  <c:v>2000</c:v>
                </c:pt>
                <c:pt idx="361">
                  <c:v>1200</c:v>
                </c:pt>
                <c:pt idx="362">
                  <c:v>1200</c:v>
                </c:pt>
                <c:pt idx="363">
                  <c:v>1000</c:v>
                </c:pt>
                <c:pt idx="364">
                  <c:v>800</c:v>
                </c:pt>
                <c:pt idx="365">
                  <c:v>4000</c:v>
                </c:pt>
                <c:pt idx="366">
                  <c:v>1400</c:v>
                </c:pt>
                <c:pt idx="367">
                  <c:v>2000</c:v>
                </c:pt>
                <c:pt idx="368">
                  <c:v>1200</c:v>
                </c:pt>
                <c:pt idx="369">
                  <c:v>1200</c:v>
                </c:pt>
                <c:pt idx="370" formatCode="#,##0">
                  <c:v>1200</c:v>
                </c:pt>
                <c:pt idx="371">
                  <c:v>1500</c:v>
                </c:pt>
                <c:pt idx="372">
                  <c:v>1500</c:v>
                </c:pt>
                <c:pt idx="373">
                  <c:v>1500</c:v>
                </c:pt>
                <c:pt idx="374">
                  <c:v>1200</c:v>
                </c:pt>
                <c:pt idx="375">
                  <c:v>2000</c:v>
                </c:pt>
                <c:pt idx="376">
                  <c:v>1200</c:v>
                </c:pt>
                <c:pt idx="377">
                  <c:v>1000</c:v>
                </c:pt>
                <c:pt idx="378">
                  <c:v>1500</c:v>
                </c:pt>
                <c:pt idx="379">
                  <c:v>1400</c:v>
                </c:pt>
                <c:pt idx="380">
                  <c:v>900</c:v>
                </c:pt>
                <c:pt idx="381">
                  <c:v>900</c:v>
                </c:pt>
                <c:pt idx="382">
                  <c:v>1200</c:v>
                </c:pt>
                <c:pt idx="383">
                  <c:v>1200</c:v>
                </c:pt>
                <c:pt idx="384">
                  <c:v>2500</c:v>
                </c:pt>
                <c:pt idx="385">
                  <c:v>1000</c:v>
                </c:pt>
                <c:pt idx="386">
                  <c:v>1100</c:v>
                </c:pt>
                <c:pt idx="387">
                  <c:v>1100</c:v>
                </c:pt>
                <c:pt idx="388">
                  <c:v>1200</c:v>
                </c:pt>
                <c:pt idx="389">
                  <c:v>1200</c:v>
                </c:pt>
                <c:pt idx="390">
                  <c:v>1100</c:v>
                </c:pt>
                <c:pt idx="391">
                  <c:v>1200</c:v>
                </c:pt>
                <c:pt idx="392">
                  <c:v>2500</c:v>
                </c:pt>
                <c:pt idx="393" formatCode="#,##0">
                  <c:v>3000</c:v>
                </c:pt>
                <c:pt idx="394">
                  <c:v>1200</c:v>
                </c:pt>
                <c:pt idx="395" formatCode="#,##0">
                  <c:v>1000</c:v>
                </c:pt>
                <c:pt idx="396">
                  <c:v>1000</c:v>
                </c:pt>
                <c:pt idx="397">
                  <c:v>1200</c:v>
                </c:pt>
                <c:pt idx="398">
                  <c:v>1000</c:v>
                </c:pt>
                <c:pt idx="399">
                  <c:v>1200</c:v>
                </c:pt>
                <c:pt idx="400" formatCode="#,##0">
                  <c:v>1500</c:v>
                </c:pt>
                <c:pt idx="401">
                  <c:v>500</c:v>
                </c:pt>
                <c:pt idx="402">
                  <c:v>1100</c:v>
                </c:pt>
                <c:pt idx="403">
                  <c:v>900</c:v>
                </c:pt>
                <c:pt idx="404">
                  <c:v>5000</c:v>
                </c:pt>
                <c:pt idx="405">
                  <c:v>1000</c:v>
                </c:pt>
                <c:pt idx="406">
                  <c:v>2500</c:v>
                </c:pt>
                <c:pt idx="407">
                  <c:v>2500</c:v>
                </c:pt>
                <c:pt idx="408">
                  <c:v>1300</c:v>
                </c:pt>
                <c:pt idx="409">
                  <c:v>1300</c:v>
                </c:pt>
                <c:pt idx="410">
                  <c:v>1500</c:v>
                </c:pt>
                <c:pt idx="411">
                  <c:v>900</c:v>
                </c:pt>
                <c:pt idx="412">
                  <c:v>1400</c:v>
                </c:pt>
                <c:pt idx="413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C3-6A41-84C4-07B84EB0C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563775"/>
        <c:axId val="1656567807"/>
      </c:scatterChart>
      <c:valAx>
        <c:axId val="165656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656567807"/>
        <c:crosses val="autoZero"/>
        <c:crossBetween val="midCat"/>
      </c:valAx>
      <c:valAx>
        <c:axId val="1656567807"/>
        <c:scaling>
          <c:orientation val="minMax"/>
          <c:max val="7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Monthly</a:t>
                </a:r>
                <a:r>
                  <a:rPr lang="en-US" baseline="0"/>
                  <a:t> expense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656563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 Maximum price you would pay for a room in a shared apartment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Statistics!$C$1</c:f>
              <c:strCache>
                <c:ptCount val="1"/>
                <c:pt idx="0">
                  <c:v>Mean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Statistics!$C$2:$C$415</c:f>
              <c:numCache>
                <c:formatCode>General</c:formatCode>
                <c:ptCount val="414"/>
                <c:pt idx="0">
                  <c:v>1039.2934782608695</c:v>
                </c:pt>
                <c:pt idx="1">
                  <c:v>1039.2934782608695</c:v>
                </c:pt>
                <c:pt idx="2">
                  <c:v>1039.2934782608695</c:v>
                </c:pt>
                <c:pt idx="3">
                  <c:v>1039.2934782608695</c:v>
                </c:pt>
                <c:pt idx="4">
                  <c:v>1039.2934782608695</c:v>
                </c:pt>
                <c:pt idx="5">
                  <c:v>1039.2934782608695</c:v>
                </c:pt>
                <c:pt idx="6">
                  <c:v>1039.2934782608695</c:v>
                </c:pt>
                <c:pt idx="7">
                  <c:v>1039.2934782608695</c:v>
                </c:pt>
                <c:pt idx="8">
                  <c:v>1039.2934782608695</c:v>
                </c:pt>
                <c:pt idx="9">
                  <c:v>1039.2934782608695</c:v>
                </c:pt>
                <c:pt idx="10">
                  <c:v>1039.2934782608695</c:v>
                </c:pt>
                <c:pt idx="11">
                  <c:v>1039.2934782608695</c:v>
                </c:pt>
                <c:pt idx="12">
                  <c:v>1039.2934782608695</c:v>
                </c:pt>
                <c:pt idx="13">
                  <c:v>1039.2934782608695</c:v>
                </c:pt>
                <c:pt idx="14">
                  <c:v>1039.2934782608695</c:v>
                </c:pt>
                <c:pt idx="15">
                  <c:v>1039.2934782608695</c:v>
                </c:pt>
                <c:pt idx="16">
                  <c:v>1039.2934782608695</c:v>
                </c:pt>
                <c:pt idx="17">
                  <c:v>1039.2934782608695</c:v>
                </c:pt>
                <c:pt idx="18">
                  <c:v>1039.2934782608695</c:v>
                </c:pt>
                <c:pt idx="19">
                  <c:v>1039.2934782608695</c:v>
                </c:pt>
                <c:pt idx="20">
                  <c:v>1039.2934782608695</c:v>
                </c:pt>
                <c:pt idx="21">
                  <c:v>1039.2934782608695</c:v>
                </c:pt>
                <c:pt idx="22">
                  <c:v>1039.2934782608695</c:v>
                </c:pt>
                <c:pt idx="23">
                  <c:v>1039.2934782608695</c:v>
                </c:pt>
                <c:pt idx="24">
                  <c:v>1039.2934782608695</c:v>
                </c:pt>
                <c:pt idx="25">
                  <c:v>1039.2934782608695</c:v>
                </c:pt>
                <c:pt idx="26">
                  <c:v>1039.2934782608695</c:v>
                </c:pt>
                <c:pt idx="27">
                  <c:v>1039.2934782608695</c:v>
                </c:pt>
                <c:pt idx="28">
                  <c:v>1039.2934782608695</c:v>
                </c:pt>
                <c:pt idx="29">
                  <c:v>1039.2934782608695</c:v>
                </c:pt>
                <c:pt idx="30">
                  <c:v>1039.2934782608695</c:v>
                </c:pt>
                <c:pt idx="31">
                  <c:v>1039.2934782608695</c:v>
                </c:pt>
                <c:pt idx="32">
                  <c:v>1039.2934782608695</c:v>
                </c:pt>
                <c:pt idx="33">
                  <c:v>1039.2934782608695</c:v>
                </c:pt>
                <c:pt idx="34">
                  <c:v>1039.2934782608695</c:v>
                </c:pt>
                <c:pt idx="35">
                  <c:v>1039.2934782608695</c:v>
                </c:pt>
                <c:pt idx="36">
                  <c:v>1039.2934782608695</c:v>
                </c:pt>
                <c:pt idx="37">
                  <c:v>1039.2934782608695</c:v>
                </c:pt>
                <c:pt idx="38">
                  <c:v>1039.2934782608695</c:v>
                </c:pt>
                <c:pt idx="39">
                  <c:v>1039.2934782608695</c:v>
                </c:pt>
                <c:pt idx="40">
                  <c:v>1039.2934782608695</c:v>
                </c:pt>
                <c:pt idx="41">
                  <c:v>1039.2934782608695</c:v>
                </c:pt>
                <c:pt idx="42">
                  <c:v>1039.2934782608695</c:v>
                </c:pt>
                <c:pt idx="43">
                  <c:v>1039.2934782608695</c:v>
                </c:pt>
                <c:pt idx="44">
                  <c:v>1039.2934782608695</c:v>
                </c:pt>
                <c:pt idx="45">
                  <c:v>1039.2934782608695</c:v>
                </c:pt>
                <c:pt idx="46">
                  <c:v>1039.2934782608695</c:v>
                </c:pt>
                <c:pt idx="47">
                  <c:v>1039.2934782608695</c:v>
                </c:pt>
                <c:pt idx="48">
                  <c:v>1039.2934782608695</c:v>
                </c:pt>
                <c:pt idx="49">
                  <c:v>1039.2934782608695</c:v>
                </c:pt>
                <c:pt idx="50">
                  <c:v>1039.2934782608695</c:v>
                </c:pt>
                <c:pt idx="51">
                  <c:v>1039.2934782608695</c:v>
                </c:pt>
                <c:pt idx="52">
                  <c:v>1039.2934782608695</c:v>
                </c:pt>
                <c:pt idx="53">
                  <c:v>1039.2934782608695</c:v>
                </c:pt>
                <c:pt idx="54">
                  <c:v>1039.2934782608695</c:v>
                </c:pt>
                <c:pt idx="55">
                  <c:v>1039.2934782608695</c:v>
                </c:pt>
                <c:pt idx="56">
                  <c:v>1039.2934782608695</c:v>
                </c:pt>
                <c:pt idx="57">
                  <c:v>1039.2934782608695</c:v>
                </c:pt>
                <c:pt idx="58">
                  <c:v>1039.2934782608695</c:v>
                </c:pt>
                <c:pt idx="59">
                  <c:v>1039.2934782608695</c:v>
                </c:pt>
                <c:pt idx="60">
                  <c:v>1039.2934782608695</c:v>
                </c:pt>
                <c:pt idx="61">
                  <c:v>1039.2934782608695</c:v>
                </c:pt>
                <c:pt idx="62">
                  <c:v>1039.2934782608695</c:v>
                </c:pt>
                <c:pt idx="63">
                  <c:v>1039.2934782608695</c:v>
                </c:pt>
                <c:pt idx="64">
                  <c:v>1039.2934782608695</c:v>
                </c:pt>
                <c:pt idx="65">
                  <c:v>1039.2934782608695</c:v>
                </c:pt>
                <c:pt idx="66">
                  <c:v>1039.2934782608695</c:v>
                </c:pt>
                <c:pt idx="67">
                  <c:v>1039.2934782608695</c:v>
                </c:pt>
                <c:pt idx="68">
                  <c:v>1039.2934782608695</c:v>
                </c:pt>
                <c:pt idx="69">
                  <c:v>1039.2934782608695</c:v>
                </c:pt>
                <c:pt idx="70">
                  <c:v>1039.2934782608695</c:v>
                </c:pt>
                <c:pt idx="71">
                  <c:v>1039.2934782608695</c:v>
                </c:pt>
                <c:pt idx="72">
                  <c:v>1039.2934782608695</c:v>
                </c:pt>
                <c:pt idx="73">
                  <c:v>1039.2934782608695</c:v>
                </c:pt>
                <c:pt idx="74">
                  <c:v>1039.2934782608695</c:v>
                </c:pt>
                <c:pt idx="75">
                  <c:v>1039.2934782608695</c:v>
                </c:pt>
                <c:pt idx="76">
                  <c:v>1039.2934782608695</c:v>
                </c:pt>
                <c:pt idx="77">
                  <c:v>1039.2934782608695</c:v>
                </c:pt>
                <c:pt idx="78">
                  <c:v>1039.2934782608695</c:v>
                </c:pt>
                <c:pt idx="79">
                  <c:v>1039.2934782608695</c:v>
                </c:pt>
                <c:pt idx="80">
                  <c:v>1039.2934782608695</c:v>
                </c:pt>
                <c:pt idx="81">
                  <c:v>1039.2934782608695</c:v>
                </c:pt>
                <c:pt idx="82">
                  <c:v>1039.2934782608695</c:v>
                </c:pt>
                <c:pt idx="83">
                  <c:v>1039.2934782608695</c:v>
                </c:pt>
                <c:pt idx="84">
                  <c:v>1039.2934782608695</c:v>
                </c:pt>
                <c:pt idx="85">
                  <c:v>1039.2934782608695</c:v>
                </c:pt>
                <c:pt idx="86">
                  <c:v>1039.2934782608695</c:v>
                </c:pt>
                <c:pt idx="87">
                  <c:v>1039.2934782608695</c:v>
                </c:pt>
                <c:pt idx="88">
                  <c:v>1039.2934782608695</c:v>
                </c:pt>
                <c:pt idx="89">
                  <c:v>1039.2934782608695</c:v>
                </c:pt>
                <c:pt idx="90">
                  <c:v>1039.2934782608695</c:v>
                </c:pt>
                <c:pt idx="91">
                  <c:v>1039.2934782608695</c:v>
                </c:pt>
                <c:pt idx="92">
                  <c:v>1039.2934782608695</c:v>
                </c:pt>
                <c:pt idx="93">
                  <c:v>1039.2934782608695</c:v>
                </c:pt>
                <c:pt idx="94">
                  <c:v>1039.2934782608695</c:v>
                </c:pt>
                <c:pt idx="95">
                  <c:v>1039.2934782608695</c:v>
                </c:pt>
                <c:pt idx="96">
                  <c:v>1039.2934782608695</c:v>
                </c:pt>
                <c:pt idx="97">
                  <c:v>1039.2934782608695</c:v>
                </c:pt>
                <c:pt idx="98">
                  <c:v>1039.2934782608695</c:v>
                </c:pt>
                <c:pt idx="99">
                  <c:v>1039.2934782608695</c:v>
                </c:pt>
                <c:pt idx="100">
                  <c:v>1039.2934782608695</c:v>
                </c:pt>
                <c:pt idx="101">
                  <c:v>1039.2934782608695</c:v>
                </c:pt>
                <c:pt idx="102">
                  <c:v>1039.2934782608695</c:v>
                </c:pt>
                <c:pt idx="103">
                  <c:v>1039.2934782608695</c:v>
                </c:pt>
                <c:pt idx="104">
                  <c:v>1039.2934782608695</c:v>
                </c:pt>
                <c:pt idx="105">
                  <c:v>1039.2934782608695</c:v>
                </c:pt>
                <c:pt idx="106">
                  <c:v>1039.2934782608695</c:v>
                </c:pt>
                <c:pt idx="107">
                  <c:v>1039.2934782608695</c:v>
                </c:pt>
                <c:pt idx="108">
                  <c:v>1039.2934782608695</c:v>
                </c:pt>
                <c:pt idx="109">
                  <c:v>1039.2934782608695</c:v>
                </c:pt>
                <c:pt idx="110">
                  <c:v>1039.2934782608695</c:v>
                </c:pt>
                <c:pt idx="111">
                  <c:v>1039.2934782608695</c:v>
                </c:pt>
                <c:pt idx="112">
                  <c:v>1039.2934782608695</c:v>
                </c:pt>
                <c:pt idx="113">
                  <c:v>1039.2934782608695</c:v>
                </c:pt>
                <c:pt idx="114">
                  <c:v>1039.2934782608695</c:v>
                </c:pt>
                <c:pt idx="115">
                  <c:v>1039.2934782608695</c:v>
                </c:pt>
                <c:pt idx="116">
                  <c:v>1039.2934782608695</c:v>
                </c:pt>
                <c:pt idx="117">
                  <c:v>1039.2934782608695</c:v>
                </c:pt>
                <c:pt idx="118">
                  <c:v>1039.2934782608695</c:v>
                </c:pt>
                <c:pt idx="119">
                  <c:v>1039.2934782608695</c:v>
                </c:pt>
                <c:pt idx="120">
                  <c:v>1039.2934782608695</c:v>
                </c:pt>
                <c:pt idx="121">
                  <c:v>1039.2934782608695</c:v>
                </c:pt>
                <c:pt idx="122">
                  <c:v>1039.2934782608695</c:v>
                </c:pt>
                <c:pt idx="123">
                  <c:v>1039.2934782608695</c:v>
                </c:pt>
                <c:pt idx="124">
                  <c:v>1039.2934782608695</c:v>
                </c:pt>
                <c:pt idx="125">
                  <c:v>1039.2934782608695</c:v>
                </c:pt>
                <c:pt idx="126">
                  <c:v>1039.2934782608695</c:v>
                </c:pt>
                <c:pt idx="127">
                  <c:v>1039.2934782608695</c:v>
                </c:pt>
                <c:pt idx="128">
                  <c:v>1039.2934782608695</c:v>
                </c:pt>
                <c:pt idx="129">
                  <c:v>1039.2934782608695</c:v>
                </c:pt>
                <c:pt idx="130">
                  <c:v>1039.2934782608695</c:v>
                </c:pt>
                <c:pt idx="131">
                  <c:v>1039.2934782608695</c:v>
                </c:pt>
                <c:pt idx="132">
                  <c:v>1039.2934782608695</c:v>
                </c:pt>
                <c:pt idx="133">
                  <c:v>1039.2934782608695</c:v>
                </c:pt>
                <c:pt idx="134">
                  <c:v>1039.2934782608695</c:v>
                </c:pt>
                <c:pt idx="135">
                  <c:v>1039.2934782608695</c:v>
                </c:pt>
                <c:pt idx="136">
                  <c:v>1039.2934782608695</c:v>
                </c:pt>
                <c:pt idx="137">
                  <c:v>1039.2934782608695</c:v>
                </c:pt>
                <c:pt idx="138">
                  <c:v>1039.2934782608695</c:v>
                </c:pt>
                <c:pt idx="139">
                  <c:v>1039.2934782608695</c:v>
                </c:pt>
                <c:pt idx="140">
                  <c:v>1039.2934782608695</c:v>
                </c:pt>
                <c:pt idx="141">
                  <c:v>1039.2934782608695</c:v>
                </c:pt>
                <c:pt idx="142">
                  <c:v>1039.2934782608695</c:v>
                </c:pt>
                <c:pt idx="143">
                  <c:v>1039.2934782608695</c:v>
                </c:pt>
                <c:pt idx="144">
                  <c:v>1039.2934782608695</c:v>
                </c:pt>
                <c:pt idx="145">
                  <c:v>1039.2934782608695</c:v>
                </c:pt>
                <c:pt idx="146">
                  <c:v>1039.2934782608695</c:v>
                </c:pt>
                <c:pt idx="147">
                  <c:v>1039.2934782608695</c:v>
                </c:pt>
                <c:pt idx="148">
                  <c:v>1039.2934782608695</c:v>
                </c:pt>
                <c:pt idx="149">
                  <c:v>1039.2934782608695</c:v>
                </c:pt>
                <c:pt idx="150">
                  <c:v>1039.2934782608695</c:v>
                </c:pt>
                <c:pt idx="151">
                  <c:v>1039.2934782608695</c:v>
                </c:pt>
                <c:pt idx="152">
                  <c:v>1039.2934782608695</c:v>
                </c:pt>
                <c:pt idx="153">
                  <c:v>1039.2934782608695</c:v>
                </c:pt>
                <c:pt idx="154">
                  <c:v>1039.2934782608695</c:v>
                </c:pt>
                <c:pt idx="155">
                  <c:v>1039.2934782608695</c:v>
                </c:pt>
                <c:pt idx="156">
                  <c:v>1039.2934782608695</c:v>
                </c:pt>
                <c:pt idx="157">
                  <c:v>1039.2934782608695</c:v>
                </c:pt>
                <c:pt idx="158">
                  <c:v>1039.2934782608695</c:v>
                </c:pt>
                <c:pt idx="159">
                  <c:v>1039.2934782608695</c:v>
                </c:pt>
                <c:pt idx="160">
                  <c:v>1039.2934782608695</c:v>
                </c:pt>
                <c:pt idx="161">
                  <c:v>1039.2934782608695</c:v>
                </c:pt>
                <c:pt idx="162">
                  <c:v>1039.2934782608695</c:v>
                </c:pt>
                <c:pt idx="163">
                  <c:v>1039.2934782608695</c:v>
                </c:pt>
                <c:pt idx="164">
                  <c:v>1039.2934782608695</c:v>
                </c:pt>
                <c:pt idx="165">
                  <c:v>1039.2934782608695</c:v>
                </c:pt>
                <c:pt idx="166">
                  <c:v>1039.2934782608695</c:v>
                </c:pt>
                <c:pt idx="167">
                  <c:v>1039.2934782608695</c:v>
                </c:pt>
                <c:pt idx="168">
                  <c:v>1039.2934782608695</c:v>
                </c:pt>
                <c:pt idx="169">
                  <c:v>1039.2934782608695</c:v>
                </c:pt>
                <c:pt idx="170">
                  <c:v>1039.2934782608695</c:v>
                </c:pt>
                <c:pt idx="171">
                  <c:v>1039.2934782608695</c:v>
                </c:pt>
                <c:pt idx="172">
                  <c:v>1039.2934782608695</c:v>
                </c:pt>
                <c:pt idx="173">
                  <c:v>1039.2934782608695</c:v>
                </c:pt>
                <c:pt idx="174">
                  <c:v>1039.2934782608695</c:v>
                </c:pt>
                <c:pt idx="175">
                  <c:v>1039.2934782608695</c:v>
                </c:pt>
                <c:pt idx="176">
                  <c:v>1039.2934782608695</c:v>
                </c:pt>
                <c:pt idx="177">
                  <c:v>1039.2934782608695</c:v>
                </c:pt>
                <c:pt idx="178">
                  <c:v>1039.2934782608695</c:v>
                </c:pt>
                <c:pt idx="179">
                  <c:v>1039.2934782608695</c:v>
                </c:pt>
                <c:pt idx="180">
                  <c:v>1039.2934782608695</c:v>
                </c:pt>
                <c:pt idx="181">
                  <c:v>1039.2934782608695</c:v>
                </c:pt>
                <c:pt idx="182">
                  <c:v>1039.2934782608695</c:v>
                </c:pt>
                <c:pt idx="183">
                  <c:v>1039.2934782608695</c:v>
                </c:pt>
                <c:pt idx="184">
                  <c:v>1039.2934782608695</c:v>
                </c:pt>
                <c:pt idx="185">
                  <c:v>1039.2934782608695</c:v>
                </c:pt>
                <c:pt idx="186">
                  <c:v>1039.2934782608695</c:v>
                </c:pt>
                <c:pt idx="187">
                  <c:v>1039.2934782608695</c:v>
                </c:pt>
                <c:pt idx="188">
                  <c:v>1039.2934782608695</c:v>
                </c:pt>
                <c:pt idx="189">
                  <c:v>1039.2934782608695</c:v>
                </c:pt>
                <c:pt idx="190">
                  <c:v>1039.2934782608695</c:v>
                </c:pt>
                <c:pt idx="191">
                  <c:v>1039.2934782608695</c:v>
                </c:pt>
                <c:pt idx="192">
                  <c:v>1039.2934782608695</c:v>
                </c:pt>
                <c:pt idx="193">
                  <c:v>1039.2934782608695</c:v>
                </c:pt>
                <c:pt idx="194">
                  <c:v>1039.2934782608695</c:v>
                </c:pt>
                <c:pt idx="195">
                  <c:v>1039.2934782608695</c:v>
                </c:pt>
                <c:pt idx="196">
                  <c:v>1039.2934782608695</c:v>
                </c:pt>
                <c:pt idx="197">
                  <c:v>1039.2934782608695</c:v>
                </c:pt>
                <c:pt idx="198">
                  <c:v>1039.2934782608695</c:v>
                </c:pt>
                <c:pt idx="199">
                  <c:v>1039.2934782608695</c:v>
                </c:pt>
                <c:pt idx="200">
                  <c:v>1039.2934782608695</c:v>
                </c:pt>
                <c:pt idx="201">
                  <c:v>1039.2934782608695</c:v>
                </c:pt>
                <c:pt idx="202">
                  <c:v>1039.2934782608695</c:v>
                </c:pt>
                <c:pt idx="203">
                  <c:v>1039.2934782608695</c:v>
                </c:pt>
                <c:pt idx="204">
                  <c:v>1039.2934782608695</c:v>
                </c:pt>
                <c:pt idx="205">
                  <c:v>1039.2934782608695</c:v>
                </c:pt>
                <c:pt idx="206">
                  <c:v>1039.2934782608695</c:v>
                </c:pt>
                <c:pt idx="207">
                  <c:v>1039.2934782608695</c:v>
                </c:pt>
                <c:pt idx="208">
                  <c:v>1039.2934782608695</c:v>
                </c:pt>
                <c:pt idx="209">
                  <c:v>1039.2934782608695</c:v>
                </c:pt>
                <c:pt idx="210">
                  <c:v>1039.2934782608695</c:v>
                </c:pt>
                <c:pt idx="211">
                  <c:v>1039.2934782608695</c:v>
                </c:pt>
                <c:pt idx="212">
                  <c:v>1039.2934782608695</c:v>
                </c:pt>
                <c:pt idx="213">
                  <c:v>1039.2934782608695</c:v>
                </c:pt>
                <c:pt idx="214">
                  <c:v>1039.2934782608695</c:v>
                </c:pt>
                <c:pt idx="215">
                  <c:v>1039.2934782608695</c:v>
                </c:pt>
                <c:pt idx="216">
                  <c:v>1039.2934782608695</c:v>
                </c:pt>
                <c:pt idx="217">
                  <c:v>1039.2934782608695</c:v>
                </c:pt>
                <c:pt idx="218">
                  <c:v>1039.2934782608695</c:v>
                </c:pt>
                <c:pt idx="219">
                  <c:v>1039.2934782608695</c:v>
                </c:pt>
                <c:pt idx="220">
                  <c:v>1039.2934782608695</c:v>
                </c:pt>
                <c:pt idx="221">
                  <c:v>1039.2934782608695</c:v>
                </c:pt>
                <c:pt idx="222">
                  <c:v>1039.2934782608695</c:v>
                </c:pt>
                <c:pt idx="223">
                  <c:v>1039.2934782608695</c:v>
                </c:pt>
                <c:pt idx="224">
                  <c:v>1039.2934782608695</c:v>
                </c:pt>
                <c:pt idx="225">
                  <c:v>1039.2934782608695</c:v>
                </c:pt>
                <c:pt idx="226">
                  <c:v>1039.2934782608695</c:v>
                </c:pt>
                <c:pt idx="227">
                  <c:v>1039.2934782608695</c:v>
                </c:pt>
                <c:pt idx="228">
                  <c:v>1039.2934782608695</c:v>
                </c:pt>
                <c:pt idx="229">
                  <c:v>1039.2934782608695</c:v>
                </c:pt>
                <c:pt idx="230">
                  <c:v>1039.2934782608695</c:v>
                </c:pt>
                <c:pt idx="231">
                  <c:v>1039.2934782608695</c:v>
                </c:pt>
                <c:pt idx="232">
                  <c:v>1039.2934782608695</c:v>
                </c:pt>
                <c:pt idx="233">
                  <c:v>1039.2934782608695</c:v>
                </c:pt>
                <c:pt idx="234">
                  <c:v>1039.2934782608695</c:v>
                </c:pt>
                <c:pt idx="235">
                  <c:v>1039.2934782608695</c:v>
                </c:pt>
                <c:pt idx="236">
                  <c:v>1039.2934782608695</c:v>
                </c:pt>
                <c:pt idx="237">
                  <c:v>1039.2934782608695</c:v>
                </c:pt>
                <c:pt idx="238">
                  <c:v>1039.2934782608695</c:v>
                </c:pt>
                <c:pt idx="239">
                  <c:v>1039.2934782608695</c:v>
                </c:pt>
                <c:pt idx="240">
                  <c:v>1039.2934782608695</c:v>
                </c:pt>
                <c:pt idx="241">
                  <c:v>1039.2934782608695</c:v>
                </c:pt>
                <c:pt idx="242">
                  <c:v>1039.2934782608695</c:v>
                </c:pt>
                <c:pt idx="243">
                  <c:v>1039.2934782608695</c:v>
                </c:pt>
                <c:pt idx="244">
                  <c:v>1039.2934782608695</c:v>
                </c:pt>
                <c:pt idx="245">
                  <c:v>1039.2934782608695</c:v>
                </c:pt>
                <c:pt idx="246">
                  <c:v>1039.2934782608695</c:v>
                </c:pt>
                <c:pt idx="247">
                  <c:v>1039.2934782608695</c:v>
                </c:pt>
                <c:pt idx="248">
                  <c:v>1039.2934782608695</c:v>
                </c:pt>
                <c:pt idx="249">
                  <c:v>1039.2934782608695</c:v>
                </c:pt>
                <c:pt idx="250">
                  <c:v>1039.2934782608695</c:v>
                </c:pt>
                <c:pt idx="251">
                  <c:v>1039.2934782608695</c:v>
                </c:pt>
                <c:pt idx="252">
                  <c:v>1039.2934782608695</c:v>
                </c:pt>
                <c:pt idx="253">
                  <c:v>1039.2934782608695</c:v>
                </c:pt>
                <c:pt idx="254">
                  <c:v>1039.2934782608695</c:v>
                </c:pt>
                <c:pt idx="255">
                  <c:v>1039.2934782608695</c:v>
                </c:pt>
                <c:pt idx="256">
                  <c:v>1039.2934782608695</c:v>
                </c:pt>
                <c:pt idx="257">
                  <c:v>1039.2934782608695</c:v>
                </c:pt>
                <c:pt idx="258">
                  <c:v>1039.2934782608695</c:v>
                </c:pt>
                <c:pt idx="259">
                  <c:v>1039.2934782608695</c:v>
                </c:pt>
                <c:pt idx="260">
                  <c:v>1039.2934782608695</c:v>
                </c:pt>
                <c:pt idx="261">
                  <c:v>1039.2934782608695</c:v>
                </c:pt>
                <c:pt idx="262">
                  <c:v>1039.2934782608695</c:v>
                </c:pt>
                <c:pt idx="263">
                  <c:v>1039.2934782608695</c:v>
                </c:pt>
                <c:pt idx="264">
                  <c:v>1039.2934782608695</c:v>
                </c:pt>
                <c:pt idx="265">
                  <c:v>1039.2934782608695</c:v>
                </c:pt>
                <c:pt idx="266">
                  <c:v>1039.2934782608695</c:v>
                </c:pt>
                <c:pt idx="267">
                  <c:v>1039.2934782608695</c:v>
                </c:pt>
                <c:pt idx="268">
                  <c:v>1039.2934782608695</c:v>
                </c:pt>
                <c:pt idx="269">
                  <c:v>1039.2934782608695</c:v>
                </c:pt>
                <c:pt idx="270">
                  <c:v>1039.2934782608695</c:v>
                </c:pt>
                <c:pt idx="271">
                  <c:v>1039.2934782608695</c:v>
                </c:pt>
                <c:pt idx="272">
                  <c:v>1039.2934782608695</c:v>
                </c:pt>
                <c:pt idx="273">
                  <c:v>1039.2934782608695</c:v>
                </c:pt>
                <c:pt idx="274">
                  <c:v>1039.2934782608695</c:v>
                </c:pt>
                <c:pt idx="275">
                  <c:v>1039.2934782608695</c:v>
                </c:pt>
                <c:pt idx="276">
                  <c:v>1039.2934782608695</c:v>
                </c:pt>
                <c:pt idx="277">
                  <c:v>1039.2934782608695</c:v>
                </c:pt>
                <c:pt idx="278">
                  <c:v>1039.2934782608695</c:v>
                </c:pt>
                <c:pt idx="279">
                  <c:v>1039.2934782608695</c:v>
                </c:pt>
                <c:pt idx="280">
                  <c:v>1039.2934782608695</c:v>
                </c:pt>
                <c:pt idx="281">
                  <c:v>1039.2934782608695</c:v>
                </c:pt>
                <c:pt idx="282">
                  <c:v>1039.2934782608695</c:v>
                </c:pt>
                <c:pt idx="283">
                  <c:v>1039.2934782608695</c:v>
                </c:pt>
                <c:pt idx="284">
                  <c:v>1039.2934782608695</c:v>
                </c:pt>
                <c:pt idx="285">
                  <c:v>1039.2934782608695</c:v>
                </c:pt>
                <c:pt idx="286">
                  <c:v>1039.2934782608695</c:v>
                </c:pt>
                <c:pt idx="287">
                  <c:v>1039.2934782608695</c:v>
                </c:pt>
                <c:pt idx="288">
                  <c:v>1039.2934782608695</c:v>
                </c:pt>
                <c:pt idx="289">
                  <c:v>1039.2934782608695</c:v>
                </c:pt>
                <c:pt idx="290">
                  <c:v>1039.2934782608695</c:v>
                </c:pt>
                <c:pt idx="291">
                  <c:v>1039.2934782608695</c:v>
                </c:pt>
                <c:pt idx="292">
                  <c:v>1039.2934782608695</c:v>
                </c:pt>
                <c:pt idx="293">
                  <c:v>1039.2934782608695</c:v>
                </c:pt>
                <c:pt idx="294">
                  <c:v>1039.2934782608695</c:v>
                </c:pt>
                <c:pt idx="295">
                  <c:v>1039.2934782608695</c:v>
                </c:pt>
                <c:pt idx="296">
                  <c:v>1039.2934782608695</c:v>
                </c:pt>
                <c:pt idx="297">
                  <c:v>1039.2934782608695</c:v>
                </c:pt>
                <c:pt idx="298">
                  <c:v>1039.2934782608695</c:v>
                </c:pt>
                <c:pt idx="299">
                  <c:v>1039.2934782608695</c:v>
                </c:pt>
                <c:pt idx="300">
                  <c:v>1039.2934782608695</c:v>
                </c:pt>
                <c:pt idx="301">
                  <c:v>1039.2934782608695</c:v>
                </c:pt>
                <c:pt idx="302">
                  <c:v>1039.2934782608695</c:v>
                </c:pt>
                <c:pt idx="303">
                  <c:v>1039.2934782608695</c:v>
                </c:pt>
                <c:pt idx="304">
                  <c:v>1039.2934782608695</c:v>
                </c:pt>
                <c:pt idx="305">
                  <c:v>1039.2934782608695</c:v>
                </c:pt>
                <c:pt idx="306">
                  <c:v>1039.2934782608695</c:v>
                </c:pt>
                <c:pt idx="307">
                  <c:v>1039.2934782608695</c:v>
                </c:pt>
                <c:pt idx="308">
                  <c:v>1039.2934782608695</c:v>
                </c:pt>
                <c:pt idx="309">
                  <c:v>1039.2934782608695</c:v>
                </c:pt>
                <c:pt idx="310">
                  <c:v>1039.2934782608695</c:v>
                </c:pt>
                <c:pt idx="311">
                  <c:v>1039.2934782608695</c:v>
                </c:pt>
                <c:pt idx="312">
                  <c:v>1039.2934782608695</c:v>
                </c:pt>
                <c:pt idx="313">
                  <c:v>1039.2934782608695</c:v>
                </c:pt>
                <c:pt idx="314">
                  <c:v>1039.2934782608695</c:v>
                </c:pt>
                <c:pt idx="315">
                  <c:v>1039.2934782608695</c:v>
                </c:pt>
                <c:pt idx="316">
                  <c:v>1039.2934782608695</c:v>
                </c:pt>
                <c:pt idx="317">
                  <c:v>1039.2934782608695</c:v>
                </c:pt>
                <c:pt idx="318">
                  <c:v>1039.2934782608695</c:v>
                </c:pt>
                <c:pt idx="319">
                  <c:v>1039.2934782608695</c:v>
                </c:pt>
                <c:pt idx="320">
                  <c:v>1039.2934782608695</c:v>
                </c:pt>
                <c:pt idx="321">
                  <c:v>1039.2934782608695</c:v>
                </c:pt>
                <c:pt idx="322">
                  <c:v>1039.2934782608695</c:v>
                </c:pt>
                <c:pt idx="323">
                  <c:v>1039.2934782608695</c:v>
                </c:pt>
                <c:pt idx="324">
                  <c:v>1039.2934782608695</c:v>
                </c:pt>
                <c:pt idx="325">
                  <c:v>1039.2934782608695</c:v>
                </c:pt>
                <c:pt idx="326">
                  <c:v>1039.2934782608695</c:v>
                </c:pt>
                <c:pt idx="327">
                  <c:v>1039.2934782608695</c:v>
                </c:pt>
                <c:pt idx="328">
                  <c:v>1039.2934782608695</c:v>
                </c:pt>
                <c:pt idx="329">
                  <c:v>1039.2934782608695</c:v>
                </c:pt>
                <c:pt idx="330">
                  <c:v>1039.2934782608695</c:v>
                </c:pt>
                <c:pt idx="331">
                  <c:v>1039.2934782608695</c:v>
                </c:pt>
                <c:pt idx="332">
                  <c:v>1039.2934782608695</c:v>
                </c:pt>
                <c:pt idx="333">
                  <c:v>1039.2934782608695</c:v>
                </c:pt>
                <c:pt idx="334">
                  <c:v>1039.2934782608695</c:v>
                </c:pt>
                <c:pt idx="335">
                  <c:v>1039.2934782608695</c:v>
                </c:pt>
                <c:pt idx="336">
                  <c:v>1039.2934782608695</c:v>
                </c:pt>
                <c:pt idx="337">
                  <c:v>1039.2934782608695</c:v>
                </c:pt>
                <c:pt idx="338">
                  <c:v>1039.2934782608695</c:v>
                </c:pt>
                <c:pt idx="339">
                  <c:v>1039.2934782608695</c:v>
                </c:pt>
                <c:pt idx="340">
                  <c:v>1039.2934782608695</c:v>
                </c:pt>
                <c:pt idx="341">
                  <c:v>1039.2934782608695</c:v>
                </c:pt>
                <c:pt idx="342">
                  <c:v>1039.2934782608695</c:v>
                </c:pt>
                <c:pt idx="343">
                  <c:v>1039.2934782608695</c:v>
                </c:pt>
                <c:pt idx="344">
                  <c:v>1039.2934782608695</c:v>
                </c:pt>
                <c:pt idx="345">
                  <c:v>1039.2934782608695</c:v>
                </c:pt>
                <c:pt idx="346">
                  <c:v>1039.2934782608695</c:v>
                </c:pt>
                <c:pt idx="347">
                  <c:v>1039.2934782608695</c:v>
                </c:pt>
                <c:pt idx="348">
                  <c:v>1039.2934782608695</c:v>
                </c:pt>
                <c:pt idx="349">
                  <c:v>1039.2934782608695</c:v>
                </c:pt>
                <c:pt idx="350">
                  <c:v>1039.2934782608695</c:v>
                </c:pt>
                <c:pt idx="351">
                  <c:v>1039.2934782608695</c:v>
                </c:pt>
                <c:pt idx="352">
                  <c:v>1039.2934782608695</c:v>
                </c:pt>
                <c:pt idx="353">
                  <c:v>1039.2934782608695</c:v>
                </c:pt>
                <c:pt idx="354">
                  <c:v>1039.2934782608695</c:v>
                </c:pt>
                <c:pt idx="355">
                  <c:v>1039.2934782608695</c:v>
                </c:pt>
                <c:pt idx="356">
                  <c:v>1039.2934782608695</c:v>
                </c:pt>
                <c:pt idx="357">
                  <c:v>1039.2934782608695</c:v>
                </c:pt>
                <c:pt idx="358">
                  <c:v>1039.2934782608695</c:v>
                </c:pt>
                <c:pt idx="359">
                  <c:v>1039.2934782608695</c:v>
                </c:pt>
                <c:pt idx="360">
                  <c:v>1039.2934782608695</c:v>
                </c:pt>
                <c:pt idx="361">
                  <c:v>1039.2934782608695</c:v>
                </c:pt>
                <c:pt idx="362">
                  <c:v>1039.2934782608695</c:v>
                </c:pt>
                <c:pt idx="363">
                  <c:v>1039.2934782608695</c:v>
                </c:pt>
                <c:pt idx="364">
                  <c:v>1039.2934782608695</c:v>
                </c:pt>
                <c:pt idx="365">
                  <c:v>1039.2934782608695</c:v>
                </c:pt>
                <c:pt idx="366">
                  <c:v>1039.2934782608695</c:v>
                </c:pt>
                <c:pt idx="367">
                  <c:v>1039.2934782608695</c:v>
                </c:pt>
                <c:pt idx="368">
                  <c:v>1039.2934782608695</c:v>
                </c:pt>
                <c:pt idx="369">
                  <c:v>1039.2934782608695</c:v>
                </c:pt>
                <c:pt idx="370">
                  <c:v>1039.2934782608695</c:v>
                </c:pt>
                <c:pt idx="371">
                  <c:v>1039.2934782608695</c:v>
                </c:pt>
                <c:pt idx="372">
                  <c:v>1039.2934782608695</c:v>
                </c:pt>
                <c:pt idx="373">
                  <c:v>1039.2934782608695</c:v>
                </c:pt>
                <c:pt idx="374">
                  <c:v>1039.2934782608695</c:v>
                </c:pt>
                <c:pt idx="375">
                  <c:v>1039.2934782608695</c:v>
                </c:pt>
                <c:pt idx="376">
                  <c:v>1039.2934782608695</c:v>
                </c:pt>
                <c:pt idx="377">
                  <c:v>1039.2934782608695</c:v>
                </c:pt>
                <c:pt idx="378">
                  <c:v>1039.2934782608695</c:v>
                </c:pt>
                <c:pt idx="379">
                  <c:v>1039.2934782608695</c:v>
                </c:pt>
                <c:pt idx="380">
                  <c:v>1039.2934782608695</c:v>
                </c:pt>
                <c:pt idx="381">
                  <c:v>1039.2934782608695</c:v>
                </c:pt>
                <c:pt idx="382">
                  <c:v>1039.2934782608695</c:v>
                </c:pt>
                <c:pt idx="383">
                  <c:v>1039.2934782608695</c:v>
                </c:pt>
                <c:pt idx="384">
                  <c:v>1039.2934782608695</c:v>
                </c:pt>
                <c:pt idx="385">
                  <c:v>1039.2934782608695</c:v>
                </c:pt>
                <c:pt idx="386">
                  <c:v>1039.2934782608695</c:v>
                </c:pt>
                <c:pt idx="387">
                  <c:v>1039.2934782608695</c:v>
                </c:pt>
                <c:pt idx="388">
                  <c:v>1039.2934782608695</c:v>
                </c:pt>
                <c:pt idx="389">
                  <c:v>1039.2934782608695</c:v>
                </c:pt>
                <c:pt idx="390">
                  <c:v>1039.2934782608695</c:v>
                </c:pt>
                <c:pt idx="391">
                  <c:v>1039.2934782608695</c:v>
                </c:pt>
                <c:pt idx="392">
                  <c:v>1039.2934782608695</c:v>
                </c:pt>
                <c:pt idx="393">
                  <c:v>1039.2934782608695</c:v>
                </c:pt>
                <c:pt idx="394">
                  <c:v>1039.2934782608695</c:v>
                </c:pt>
                <c:pt idx="395">
                  <c:v>1039.2934782608695</c:v>
                </c:pt>
                <c:pt idx="396">
                  <c:v>1039.2934782608695</c:v>
                </c:pt>
                <c:pt idx="397">
                  <c:v>1039.2934782608695</c:v>
                </c:pt>
                <c:pt idx="398">
                  <c:v>1039.2934782608695</c:v>
                </c:pt>
                <c:pt idx="399">
                  <c:v>1039.2934782608695</c:v>
                </c:pt>
                <c:pt idx="400">
                  <c:v>1039.2934782608695</c:v>
                </c:pt>
                <c:pt idx="401">
                  <c:v>1039.2934782608695</c:v>
                </c:pt>
                <c:pt idx="402">
                  <c:v>1039.2934782608695</c:v>
                </c:pt>
                <c:pt idx="403">
                  <c:v>1039.2934782608695</c:v>
                </c:pt>
                <c:pt idx="404">
                  <c:v>1039.2934782608695</c:v>
                </c:pt>
                <c:pt idx="405">
                  <c:v>1039.2934782608695</c:v>
                </c:pt>
                <c:pt idx="406">
                  <c:v>1039.2934782608695</c:v>
                </c:pt>
                <c:pt idx="407">
                  <c:v>1039.2934782608695</c:v>
                </c:pt>
                <c:pt idx="408">
                  <c:v>1039.2934782608695</c:v>
                </c:pt>
                <c:pt idx="409">
                  <c:v>1039.2934782608695</c:v>
                </c:pt>
                <c:pt idx="410">
                  <c:v>1039.2934782608695</c:v>
                </c:pt>
                <c:pt idx="411">
                  <c:v>1039.2934782608695</c:v>
                </c:pt>
                <c:pt idx="412">
                  <c:v>1039.2934782608695</c:v>
                </c:pt>
                <c:pt idx="413">
                  <c:v>1039.2934782608695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94-0845-A798-636D2DBCE126}"/>
            </c:ext>
          </c:extLst>
        </c:ser>
        <c:ser>
          <c:idx val="1"/>
          <c:order val="1"/>
          <c:tx>
            <c:strRef>
              <c:f>Statistics!$D$1</c:f>
              <c:strCache>
                <c:ptCount val="1"/>
                <c:pt idx="0">
                  <c:v>Median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Statistics!$D$2:$D$415</c:f>
              <c:numCache>
                <c:formatCode>General</c:formatCode>
                <c:ptCount val="414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1000</c:v>
                </c:pt>
                <c:pt idx="38">
                  <c:v>1000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1000</c:v>
                </c:pt>
                <c:pt idx="46">
                  <c:v>1000</c:v>
                </c:pt>
                <c:pt idx="47">
                  <c:v>1000</c:v>
                </c:pt>
                <c:pt idx="48">
                  <c:v>1000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1000</c:v>
                </c:pt>
                <c:pt idx="53">
                  <c:v>1000</c:v>
                </c:pt>
                <c:pt idx="54">
                  <c:v>1000</c:v>
                </c:pt>
                <c:pt idx="55">
                  <c:v>1000</c:v>
                </c:pt>
                <c:pt idx="56">
                  <c:v>1000</c:v>
                </c:pt>
                <c:pt idx="57">
                  <c:v>1000</c:v>
                </c:pt>
                <c:pt idx="58">
                  <c:v>1000</c:v>
                </c:pt>
                <c:pt idx="59">
                  <c:v>1000</c:v>
                </c:pt>
                <c:pt idx="60">
                  <c:v>1000</c:v>
                </c:pt>
                <c:pt idx="61">
                  <c:v>1000</c:v>
                </c:pt>
                <c:pt idx="62">
                  <c:v>1000</c:v>
                </c:pt>
                <c:pt idx="63">
                  <c:v>1000</c:v>
                </c:pt>
                <c:pt idx="64">
                  <c:v>1000</c:v>
                </c:pt>
                <c:pt idx="65">
                  <c:v>1000</c:v>
                </c:pt>
                <c:pt idx="66">
                  <c:v>1000</c:v>
                </c:pt>
                <c:pt idx="67">
                  <c:v>1000</c:v>
                </c:pt>
                <c:pt idx="68">
                  <c:v>1000</c:v>
                </c:pt>
                <c:pt idx="69">
                  <c:v>1000</c:v>
                </c:pt>
                <c:pt idx="70">
                  <c:v>1000</c:v>
                </c:pt>
                <c:pt idx="71">
                  <c:v>1000</c:v>
                </c:pt>
                <c:pt idx="72">
                  <c:v>1000</c:v>
                </c:pt>
                <c:pt idx="73">
                  <c:v>1000</c:v>
                </c:pt>
                <c:pt idx="74">
                  <c:v>1000</c:v>
                </c:pt>
                <c:pt idx="75">
                  <c:v>1000</c:v>
                </c:pt>
                <c:pt idx="76">
                  <c:v>1000</c:v>
                </c:pt>
                <c:pt idx="77">
                  <c:v>1000</c:v>
                </c:pt>
                <c:pt idx="78">
                  <c:v>1000</c:v>
                </c:pt>
                <c:pt idx="79">
                  <c:v>1000</c:v>
                </c:pt>
                <c:pt idx="80">
                  <c:v>1000</c:v>
                </c:pt>
                <c:pt idx="81">
                  <c:v>1000</c:v>
                </c:pt>
                <c:pt idx="82">
                  <c:v>1000</c:v>
                </c:pt>
                <c:pt idx="83">
                  <c:v>1000</c:v>
                </c:pt>
                <c:pt idx="84">
                  <c:v>1000</c:v>
                </c:pt>
                <c:pt idx="85">
                  <c:v>1000</c:v>
                </c:pt>
                <c:pt idx="86">
                  <c:v>1000</c:v>
                </c:pt>
                <c:pt idx="87">
                  <c:v>1000</c:v>
                </c:pt>
                <c:pt idx="88">
                  <c:v>1000</c:v>
                </c:pt>
                <c:pt idx="89">
                  <c:v>1000</c:v>
                </c:pt>
                <c:pt idx="90">
                  <c:v>1000</c:v>
                </c:pt>
                <c:pt idx="91">
                  <c:v>1000</c:v>
                </c:pt>
                <c:pt idx="92">
                  <c:v>1000</c:v>
                </c:pt>
                <c:pt idx="93">
                  <c:v>1000</c:v>
                </c:pt>
                <c:pt idx="94">
                  <c:v>1000</c:v>
                </c:pt>
                <c:pt idx="95">
                  <c:v>1000</c:v>
                </c:pt>
                <c:pt idx="96">
                  <c:v>1000</c:v>
                </c:pt>
                <c:pt idx="97">
                  <c:v>1000</c:v>
                </c:pt>
                <c:pt idx="98">
                  <c:v>1000</c:v>
                </c:pt>
                <c:pt idx="99">
                  <c:v>1000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  <c:pt idx="104">
                  <c:v>1000</c:v>
                </c:pt>
                <c:pt idx="105">
                  <c:v>1000</c:v>
                </c:pt>
                <c:pt idx="106">
                  <c:v>1000</c:v>
                </c:pt>
                <c:pt idx="107">
                  <c:v>1000</c:v>
                </c:pt>
                <c:pt idx="108">
                  <c:v>1000</c:v>
                </c:pt>
                <c:pt idx="109">
                  <c:v>1000</c:v>
                </c:pt>
                <c:pt idx="110">
                  <c:v>1000</c:v>
                </c:pt>
                <c:pt idx="111">
                  <c:v>1000</c:v>
                </c:pt>
                <c:pt idx="112">
                  <c:v>1000</c:v>
                </c:pt>
                <c:pt idx="113">
                  <c:v>1000</c:v>
                </c:pt>
                <c:pt idx="114">
                  <c:v>1000</c:v>
                </c:pt>
                <c:pt idx="115">
                  <c:v>1000</c:v>
                </c:pt>
                <c:pt idx="116">
                  <c:v>1000</c:v>
                </c:pt>
                <c:pt idx="117">
                  <c:v>1000</c:v>
                </c:pt>
                <c:pt idx="118">
                  <c:v>1000</c:v>
                </c:pt>
                <c:pt idx="119">
                  <c:v>1000</c:v>
                </c:pt>
                <c:pt idx="120">
                  <c:v>1000</c:v>
                </c:pt>
                <c:pt idx="121">
                  <c:v>1000</c:v>
                </c:pt>
                <c:pt idx="122">
                  <c:v>1000</c:v>
                </c:pt>
                <c:pt idx="123">
                  <c:v>1000</c:v>
                </c:pt>
                <c:pt idx="124">
                  <c:v>1000</c:v>
                </c:pt>
                <c:pt idx="125">
                  <c:v>1000</c:v>
                </c:pt>
                <c:pt idx="126">
                  <c:v>1000</c:v>
                </c:pt>
                <c:pt idx="127">
                  <c:v>1000</c:v>
                </c:pt>
                <c:pt idx="128">
                  <c:v>1000</c:v>
                </c:pt>
                <c:pt idx="129">
                  <c:v>1000</c:v>
                </c:pt>
                <c:pt idx="130">
                  <c:v>1000</c:v>
                </c:pt>
                <c:pt idx="131">
                  <c:v>1000</c:v>
                </c:pt>
                <c:pt idx="132">
                  <c:v>1000</c:v>
                </c:pt>
                <c:pt idx="133">
                  <c:v>1000</c:v>
                </c:pt>
                <c:pt idx="134">
                  <c:v>1000</c:v>
                </c:pt>
                <c:pt idx="135">
                  <c:v>1000</c:v>
                </c:pt>
                <c:pt idx="136">
                  <c:v>1000</c:v>
                </c:pt>
                <c:pt idx="137">
                  <c:v>1000</c:v>
                </c:pt>
                <c:pt idx="138">
                  <c:v>1000</c:v>
                </c:pt>
                <c:pt idx="139">
                  <c:v>1000</c:v>
                </c:pt>
                <c:pt idx="140">
                  <c:v>1000</c:v>
                </c:pt>
                <c:pt idx="141">
                  <c:v>1000</c:v>
                </c:pt>
                <c:pt idx="142">
                  <c:v>1000</c:v>
                </c:pt>
                <c:pt idx="143">
                  <c:v>1000</c:v>
                </c:pt>
                <c:pt idx="144">
                  <c:v>1000</c:v>
                </c:pt>
                <c:pt idx="145">
                  <c:v>1000</c:v>
                </c:pt>
                <c:pt idx="146">
                  <c:v>1000</c:v>
                </c:pt>
                <c:pt idx="147">
                  <c:v>1000</c:v>
                </c:pt>
                <c:pt idx="148">
                  <c:v>1000</c:v>
                </c:pt>
                <c:pt idx="149">
                  <c:v>1000</c:v>
                </c:pt>
                <c:pt idx="150">
                  <c:v>1000</c:v>
                </c:pt>
                <c:pt idx="151">
                  <c:v>1000</c:v>
                </c:pt>
                <c:pt idx="152">
                  <c:v>1000</c:v>
                </c:pt>
                <c:pt idx="153">
                  <c:v>1000</c:v>
                </c:pt>
                <c:pt idx="154">
                  <c:v>1000</c:v>
                </c:pt>
                <c:pt idx="155">
                  <c:v>1000</c:v>
                </c:pt>
                <c:pt idx="156">
                  <c:v>1000</c:v>
                </c:pt>
                <c:pt idx="157">
                  <c:v>1000</c:v>
                </c:pt>
                <c:pt idx="158">
                  <c:v>1000</c:v>
                </c:pt>
                <c:pt idx="159">
                  <c:v>1000</c:v>
                </c:pt>
                <c:pt idx="160">
                  <c:v>1000</c:v>
                </c:pt>
                <c:pt idx="161">
                  <c:v>1000</c:v>
                </c:pt>
                <c:pt idx="162">
                  <c:v>1000</c:v>
                </c:pt>
                <c:pt idx="163">
                  <c:v>1000</c:v>
                </c:pt>
                <c:pt idx="164">
                  <c:v>1000</c:v>
                </c:pt>
                <c:pt idx="165">
                  <c:v>1000</c:v>
                </c:pt>
                <c:pt idx="166">
                  <c:v>1000</c:v>
                </c:pt>
                <c:pt idx="167">
                  <c:v>1000</c:v>
                </c:pt>
                <c:pt idx="168">
                  <c:v>1000</c:v>
                </c:pt>
                <c:pt idx="169">
                  <c:v>1000</c:v>
                </c:pt>
                <c:pt idx="170">
                  <c:v>1000</c:v>
                </c:pt>
                <c:pt idx="171">
                  <c:v>1000</c:v>
                </c:pt>
                <c:pt idx="172">
                  <c:v>1000</c:v>
                </c:pt>
                <c:pt idx="173">
                  <c:v>1000</c:v>
                </c:pt>
                <c:pt idx="174">
                  <c:v>1000</c:v>
                </c:pt>
                <c:pt idx="175">
                  <c:v>1000</c:v>
                </c:pt>
                <c:pt idx="176">
                  <c:v>1000</c:v>
                </c:pt>
                <c:pt idx="177">
                  <c:v>1000</c:v>
                </c:pt>
                <c:pt idx="178">
                  <c:v>1000</c:v>
                </c:pt>
                <c:pt idx="179">
                  <c:v>1000</c:v>
                </c:pt>
                <c:pt idx="180">
                  <c:v>1000</c:v>
                </c:pt>
                <c:pt idx="181">
                  <c:v>1000</c:v>
                </c:pt>
                <c:pt idx="182">
                  <c:v>1000</c:v>
                </c:pt>
                <c:pt idx="183">
                  <c:v>1000</c:v>
                </c:pt>
                <c:pt idx="184">
                  <c:v>1000</c:v>
                </c:pt>
                <c:pt idx="185">
                  <c:v>1000</c:v>
                </c:pt>
                <c:pt idx="186">
                  <c:v>1000</c:v>
                </c:pt>
                <c:pt idx="187">
                  <c:v>1000</c:v>
                </c:pt>
                <c:pt idx="188">
                  <c:v>1000</c:v>
                </c:pt>
                <c:pt idx="189">
                  <c:v>1000</c:v>
                </c:pt>
                <c:pt idx="190">
                  <c:v>1000</c:v>
                </c:pt>
                <c:pt idx="191">
                  <c:v>1000</c:v>
                </c:pt>
                <c:pt idx="192">
                  <c:v>1000</c:v>
                </c:pt>
                <c:pt idx="193">
                  <c:v>1000</c:v>
                </c:pt>
                <c:pt idx="194">
                  <c:v>1000</c:v>
                </c:pt>
                <c:pt idx="195">
                  <c:v>1000</c:v>
                </c:pt>
                <c:pt idx="196">
                  <c:v>1000</c:v>
                </c:pt>
                <c:pt idx="197">
                  <c:v>1000</c:v>
                </c:pt>
                <c:pt idx="198">
                  <c:v>1000</c:v>
                </c:pt>
                <c:pt idx="199">
                  <c:v>1000</c:v>
                </c:pt>
                <c:pt idx="200">
                  <c:v>1000</c:v>
                </c:pt>
                <c:pt idx="201">
                  <c:v>1000</c:v>
                </c:pt>
                <c:pt idx="202">
                  <c:v>1000</c:v>
                </c:pt>
                <c:pt idx="203">
                  <c:v>1000</c:v>
                </c:pt>
                <c:pt idx="204">
                  <c:v>1000</c:v>
                </c:pt>
                <c:pt idx="205">
                  <c:v>1000</c:v>
                </c:pt>
                <c:pt idx="206">
                  <c:v>1000</c:v>
                </c:pt>
                <c:pt idx="207">
                  <c:v>1000</c:v>
                </c:pt>
                <c:pt idx="208">
                  <c:v>1000</c:v>
                </c:pt>
                <c:pt idx="209">
                  <c:v>1000</c:v>
                </c:pt>
                <c:pt idx="210">
                  <c:v>1000</c:v>
                </c:pt>
                <c:pt idx="211">
                  <c:v>1000</c:v>
                </c:pt>
                <c:pt idx="212">
                  <c:v>1000</c:v>
                </c:pt>
                <c:pt idx="213">
                  <c:v>1000</c:v>
                </c:pt>
                <c:pt idx="214">
                  <c:v>1000</c:v>
                </c:pt>
                <c:pt idx="215">
                  <c:v>1000</c:v>
                </c:pt>
                <c:pt idx="216">
                  <c:v>1000</c:v>
                </c:pt>
                <c:pt idx="217">
                  <c:v>1000</c:v>
                </c:pt>
                <c:pt idx="218">
                  <c:v>1000</c:v>
                </c:pt>
                <c:pt idx="219">
                  <c:v>1000</c:v>
                </c:pt>
                <c:pt idx="220">
                  <c:v>1000</c:v>
                </c:pt>
                <c:pt idx="221">
                  <c:v>1000</c:v>
                </c:pt>
                <c:pt idx="222">
                  <c:v>1000</c:v>
                </c:pt>
                <c:pt idx="223">
                  <c:v>1000</c:v>
                </c:pt>
                <c:pt idx="224">
                  <c:v>1000</c:v>
                </c:pt>
                <c:pt idx="225">
                  <c:v>1000</c:v>
                </c:pt>
                <c:pt idx="226">
                  <c:v>1000</c:v>
                </c:pt>
                <c:pt idx="227">
                  <c:v>1000</c:v>
                </c:pt>
                <c:pt idx="228">
                  <c:v>1000</c:v>
                </c:pt>
                <c:pt idx="229">
                  <c:v>1000</c:v>
                </c:pt>
                <c:pt idx="230">
                  <c:v>1000</c:v>
                </c:pt>
                <c:pt idx="231">
                  <c:v>1000</c:v>
                </c:pt>
                <c:pt idx="232">
                  <c:v>1000</c:v>
                </c:pt>
                <c:pt idx="233">
                  <c:v>1000</c:v>
                </c:pt>
                <c:pt idx="234">
                  <c:v>1000</c:v>
                </c:pt>
                <c:pt idx="235">
                  <c:v>1000</c:v>
                </c:pt>
                <c:pt idx="236">
                  <c:v>1000</c:v>
                </c:pt>
                <c:pt idx="237">
                  <c:v>1000</c:v>
                </c:pt>
                <c:pt idx="238">
                  <c:v>1000</c:v>
                </c:pt>
                <c:pt idx="239">
                  <c:v>1000</c:v>
                </c:pt>
                <c:pt idx="240">
                  <c:v>1000</c:v>
                </c:pt>
                <c:pt idx="241">
                  <c:v>1000</c:v>
                </c:pt>
                <c:pt idx="242">
                  <c:v>1000</c:v>
                </c:pt>
                <c:pt idx="243">
                  <c:v>1000</c:v>
                </c:pt>
                <c:pt idx="244">
                  <c:v>1000</c:v>
                </c:pt>
                <c:pt idx="245">
                  <c:v>1000</c:v>
                </c:pt>
                <c:pt idx="246">
                  <c:v>1000</c:v>
                </c:pt>
                <c:pt idx="247">
                  <c:v>1000</c:v>
                </c:pt>
                <c:pt idx="248">
                  <c:v>1000</c:v>
                </c:pt>
                <c:pt idx="249">
                  <c:v>1000</c:v>
                </c:pt>
                <c:pt idx="250">
                  <c:v>1000</c:v>
                </c:pt>
                <c:pt idx="251">
                  <c:v>1000</c:v>
                </c:pt>
                <c:pt idx="252">
                  <c:v>1000</c:v>
                </c:pt>
                <c:pt idx="253">
                  <c:v>1000</c:v>
                </c:pt>
                <c:pt idx="254">
                  <c:v>1000</c:v>
                </c:pt>
                <c:pt idx="255">
                  <c:v>1000</c:v>
                </c:pt>
                <c:pt idx="256">
                  <c:v>1000</c:v>
                </c:pt>
                <c:pt idx="257">
                  <c:v>1000</c:v>
                </c:pt>
                <c:pt idx="258">
                  <c:v>1000</c:v>
                </c:pt>
                <c:pt idx="259">
                  <c:v>1000</c:v>
                </c:pt>
                <c:pt idx="260">
                  <c:v>1000</c:v>
                </c:pt>
                <c:pt idx="261">
                  <c:v>1000</c:v>
                </c:pt>
                <c:pt idx="262">
                  <c:v>1000</c:v>
                </c:pt>
                <c:pt idx="263">
                  <c:v>1000</c:v>
                </c:pt>
                <c:pt idx="264">
                  <c:v>1000</c:v>
                </c:pt>
                <c:pt idx="265">
                  <c:v>1000</c:v>
                </c:pt>
                <c:pt idx="266">
                  <c:v>1000</c:v>
                </c:pt>
                <c:pt idx="267">
                  <c:v>1000</c:v>
                </c:pt>
                <c:pt idx="268">
                  <c:v>1000</c:v>
                </c:pt>
                <c:pt idx="269">
                  <c:v>1000</c:v>
                </c:pt>
                <c:pt idx="270">
                  <c:v>1000</c:v>
                </c:pt>
                <c:pt idx="271">
                  <c:v>1000</c:v>
                </c:pt>
                <c:pt idx="272">
                  <c:v>1000</c:v>
                </c:pt>
                <c:pt idx="273">
                  <c:v>1000</c:v>
                </c:pt>
                <c:pt idx="274">
                  <c:v>1000</c:v>
                </c:pt>
                <c:pt idx="275">
                  <c:v>1000</c:v>
                </c:pt>
                <c:pt idx="276">
                  <c:v>1000</c:v>
                </c:pt>
                <c:pt idx="277">
                  <c:v>1000</c:v>
                </c:pt>
                <c:pt idx="278">
                  <c:v>1000</c:v>
                </c:pt>
                <c:pt idx="279">
                  <c:v>1000</c:v>
                </c:pt>
                <c:pt idx="280">
                  <c:v>1000</c:v>
                </c:pt>
                <c:pt idx="281">
                  <c:v>1000</c:v>
                </c:pt>
                <c:pt idx="282">
                  <c:v>1000</c:v>
                </c:pt>
                <c:pt idx="283">
                  <c:v>1000</c:v>
                </c:pt>
                <c:pt idx="284">
                  <c:v>1000</c:v>
                </c:pt>
                <c:pt idx="285">
                  <c:v>1000</c:v>
                </c:pt>
                <c:pt idx="286">
                  <c:v>1000</c:v>
                </c:pt>
                <c:pt idx="287">
                  <c:v>1000</c:v>
                </c:pt>
                <c:pt idx="288">
                  <c:v>1000</c:v>
                </c:pt>
                <c:pt idx="289">
                  <c:v>1000</c:v>
                </c:pt>
                <c:pt idx="290">
                  <c:v>1000</c:v>
                </c:pt>
                <c:pt idx="291">
                  <c:v>1000</c:v>
                </c:pt>
                <c:pt idx="292">
                  <c:v>1000</c:v>
                </c:pt>
                <c:pt idx="293">
                  <c:v>1000</c:v>
                </c:pt>
                <c:pt idx="294">
                  <c:v>1000</c:v>
                </c:pt>
                <c:pt idx="295">
                  <c:v>1000</c:v>
                </c:pt>
                <c:pt idx="296">
                  <c:v>1000</c:v>
                </c:pt>
                <c:pt idx="297">
                  <c:v>1000</c:v>
                </c:pt>
                <c:pt idx="298">
                  <c:v>1000</c:v>
                </c:pt>
                <c:pt idx="299">
                  <c:v>1000</c:v>
                </c:pt>
                <c:pt idx="300">
                  <c:v>1000</c:v>
                </c:pt>
                <c:pt idx="301">
                  <c:v>1000</c:v>
                </c:pt>
                <c:pt idx="302">
                  <c:v>1000</c:v>
                </c:pt>
                <c:pt idx="303">
                  <c:v>1000</c:v>
                </c:pt>
                <c:pt idx="304">
                  <c:v>1000</c:v>
                </c:pt>
                <c:pt idx="305">
                  <c:v>1000</c:v>
                </c:pt>
                <c:pt idx="306">
                  <c:v>1000</c:v>
                </c:pt>
                <c:pt idx="307">
                  <c:v>1000</c:v>
                </c:pt>
                <c:pt idx="308">
                  <c:v>1000</c:v>
                </c:pt>
                <c:pt idx="309">
                  <c:v>1000</c:v>
                </c:pt>
                <c:pt idx="310">
                  <c:v>1000</c:v>
                </c:pt>
                <c:pt idx="311">
                  <c:v>1000</c:v>
                </c:pt>
                <c:pt idx="312">
                  <c:v>1000</c:v>
                </c:pt>
                <c:pt idx="313">
                  <c:v>1000</c:v>
                </c:pt>
                <c:pt idx="314">
                  <c:v>1000</c:v>
                </c:pt>
                <c:pt idx="315">
                  <c:v>1000</c:v>
                </c:pt>
                <c:pt idx="316">
                  <c:v>1000</c:v>
                </c:pt>
                <c:pt idx="317">
                  <c:v>1000</c:v>
                </c:pt>
                <c:pt idx="318">
                  <c:v>1000</c:v>
                </c:pt>
                <c:pt idx="319">
                  <c:v>1000</c:v>
                </c:pt>
                <c:pt idx="320">
                  <c:v>1000</c:v>
                </c:pt>
                <c:pt idx="321">
                  <c:v>1000</c:v>
                </c:pt>
                <c:pt idx="322">
                  <c:v>1000</c:v>
                </c:pt>
                <c:pt idx="323">
                  <c:v>1000</c:v>
                </c:pt>
                <c:pt idx="324">
                  <c:v>1000</c:v>
                </c:pt>
                <c:pt idx="325">
                  <c:v>1000</c:v>
                </c:pt>
                <c:pt idx="326">
                  <c:v>1000</c:v>
                </c:pt>
                <c:pt idx="327">
                  <c:v>1000</c:v>
                </c:pt>
                <c:pt idx="328">
                  <c:v>1000</c:v>
                </c:pt>
                <c:pt idx="329">
                  <c:v>1000</c:v>
                </c:pt>
                <c:pt idx="330">
                  <c:v>1000</c:v>
                </c:pt>
                <c:pt idx="331">
                  <c:v>1000</c:v>
                </c:pt>
                <c:pt idx="332">
                  <c:v>1000</c:v>
                </c:pt>
                <c:pt idx="333">
                  <c:v>1000</c:v>
                </c:pt>
                <c:pt idx="334">
                  <c:v>1000</c:v>
                </c:pt>
                <c:pt idx="335">
                  <c:v>1000</c:v>
                </c:pt>
                <c:pt idx="336">
                  <c:v>1000</c:v>
                </c:pt>
                <c:pt idx="337">
                  <c:v>1000</c:v>
                </c:pt>
                <c:pt idx="338">
                  <c:v>1000</c:v>
                </c:pt>
                <c:pt idx="339">
                  <c:v>1000</c:v>
                </c:pt>
                <c:pt idx="340">
                  <c:v>1000</c:v>
                </c:pt>
                <c:pt idx="341">
                  <c:v>1000</c:v>
                </c:pt>
                <c:pt idx="342">
                  <c:v>1000</c:v>
                </c:pt>
                <c:pt idx="343">
                  <c:v>1000</c:v>
                </c:pt>
                <c:pt idx="344">
                  <c:v>1000</c:v>
                </c:pt>
                <c:pt idx="345">
                  <c:v>1000</c:v>
                </c:pt>
                <c:pt idx="346">
                  <c:v>1000</c:v>
                </c:pt>
                <c:pt idx="347">
                  <c:v>1000</c:v>
                </c:pt>
                <c:pt idx="348">
                  <c:v>1000</c:v>
                </c:pt>
                <c:pt idx="349">
                  <c:v>1000</c:v>
                </c:pt>
                <c:pt idx="350">
                  <c:v>1000</c:v>
                </c:pt>
                <c:pt idx="351">
                  <c:v>1000</c:v>
                </c:pt>
                <c:pt idx="352">
                  <c:v>1000</c:v>
                </c:pt>
                <c:pt idx="353">
                  <c:v>1000</c:v>
                </c:pt>
                <c:pt idx="354">
                  <c:v>1000</c:v>
                </c:pt>
                <c:pt idx="355">
                  <c:v>1000</c:v>
                </c:pt>
                <c:pt idx="356">
                  <c:v>1000</c:v>
                </c:pt>
                <c:pt idx="357">
                  <c:v>1000</c:v>
                </c:pt>
                <c:pt idx="358">
                  <c:v>1000</c:v>
                </c:pt>
                <c:pt idx="359">
                  <c:v>1000</c:v>
                </c:pt>
                <c:pt idx="360">
                  <c:v>1000</c:v>
                </c:pt>
                <c:pt idx="361">
                  <c:v>1000</c:v>
                </c:pt>
                <c:pt idx="362">
                  <c:v>1000</c:v>
                </c:pt>
                <c:pt idx="363">
                  <c:v>1000</c:v>
                </c:pt>
                <c:pt idx="364">
                  <c:v>1000</c:v>
                </c:pt>
                <c:pt idx="365">
                  <c:v>1000</c:v>
                </c:pt>
                <c:pt idx="366">
                  <c:v>1000</c:v>
                </c:pt>
                <c:pt idx="367">
                  <c:v>1000</c:v>
                </c:pt>
                <c:pt idx="368">
                  <c:v>1000</c:v>
                </c:pt>
                <c:pt idx="369">
                  <c:v>1000</c:v>
                </c:pt>
                <c:pt idx="370">
                  <c:v>1000</c:v>
                </c:pt>
                <c:pt idx="371">
                  <c:v>1000</c:v>
                </c:pt>
                <c:pt idx="372">
                  <c:v>1000</c:v>
                </c:pt>
                <c:pt idx="373">
                  <c:v>1000</c:v>
                </c:pt>
                <c:pt idx="374">
                  <c:v>1000</c:v>
                </c:pt>
                <c:pt idx="375">
                  <c:v>1000</c:v>
                </c:pt>
                <c:pt idx="376">
                  <c:v>1000</c:v>
                </c:pt>
                <c:pt idx="377">
                  <c:v>1000</c:v>
                </c:pt>
                <c:pt idx="378">
                  <c:v>1000</c:v>
                </c:pt>
                <c:pt idx="379">
                  <c:v>1000</c:v>
                </c:pt>
                <c:pt idx="380">
                  <c:v>1000</c:v>
                </c:pt>
                <c:pt idx="381">
                  <c:v>1000</c:v>
                </c:pt>
                <c:pt idx="382">
                  <c:v>1000</c:v>
                </c:pt>
                <c:pt idx="383">
                  <c:v>1000</c:v>
                </c:pt>
                <c:pt idx="384">
                  <c:v>1000</c:v>
                </c:pt>
                <c:pt idx="385">
                  <c:v>1000</c:v>
                </c:pt>
                <c:pt idx="386">
                  <c:v>1000</c:v>
                </c:pt>
                <c:pt idx="387">
                  <c:v>1000</c:v>
                </c:pt>
                <c:pt idx="388">
                  <c:v>1000</c:v>
                </c:pt>
                <c:pt idx="389">
                  <c:v>1000</c:v>
                </c:pt>
                <c:pt idx="390">
                  <c:v>1000</c:v>
                </c:pt>
                <c:pt idx="391">
                  <c:v>1000</c:v>
                </c:pt>
                <c:pt idx="392">
                  <c:v>1000</c:v>
                </c:pt>
                <c:pt idx="393">
                  <c:v>1000</c:v>
                </c:pt>
                <c:pt idx="394">
                  <c:v>1000</c:v>
                </c:pt>
                <c:pt idx="395">
                  <c:v>1000</c:v>
                </c:pt>
                <c:pt idx="396">
                  <c:v>1000</c:v>
                </c:pt>
                <c:pt idx="397">
                  <c:v>1000</c:v>
                </c:pt>
                <c:pt idx="398">
                  <c:v>1000</c:v>
                </c:pt>
                <c:pt idx="399">
                  <c:v>1000</c:v>
                </c:pt>
                <c:pt idx="400">
                  <c:v>1000</c:v>
                </c:pt>
                <c:pt idx="401">
                  <c:v>1000</c:v>
                </c:pt>
                <c:pt idx="402">
                  <c:v>1000</c:v>
                </c:pt>
                <c:pt idx="403">
                  <c:v>1000</c:v>
                </c:pt>
                <c:pt idx="404">
                  <c:v>1000</c:v>
                </c:pt>
                <c:pt idx="405">
                  <c:v>1000</c:v>
                </c:pt>
                <c:pt idx="406">
                  <c:v>1000</c:v>
                </c:pt>
                <c:pt idx="407">
                  <c:v>1000</c:v>
                </c:pt>
                <c:pt idx="408">
                  <c:v>1000</c:v>
                </c:pt>
                <c:pt idx="409">
                  <c:v>1000</c:v>
                </c:pt>
                <c:pt idx="410">
                  <c:v>1000</c:v>
                </c:pt>
                <c:pt idx="411">
                  <c:v>1000</c:v>
                </c:pt>
                <c:pt idx="412">
                  <c:v>1000</c:v>
                </c:pt>
                <c:pt idx="413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94-0845-A798-636D2DBCE126}"/>
            </c:ext>
          </c:extLst>
        </c:ser>
        <c:ser>
          <c:idx val="2"/>
          <c:order val="2"/>
          <c:tx>
            <c:strRef>
              <c:f>Statistics!$E$1</c:f>
              <c:strCache>
                <c:ptCount val="1"/>
                <c:pt idx="0">
                  <c:v>Mode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Statistics!$E$2:$E$415</c:f>
              <c:numCache>
                <c:formatCode>General</c:formatCode>
                <c:ptCount val="414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1200</c:v>
                </c:pt>
                <c:pt idx="28">
                  <c:v>1200</c:v>
                </c:pt>
                <c:pt idx="29">
                  <c:v>1200</c:v>
                </c:pt>
                <c:pt idx="30">
                  <c:v>1200</c:v>
                </c:pt>
                <c:pt idx="31">
                  <c:v>1200</c:v>
                </c:pt>
                <c:pt idx="32">
                  <c:v>1200</c:v>
                </c:pt>
                <c:pt idx="33">
                  <c:v>1200</c:v>
                </c:pt>
                <c:pt idx="34">
                  <c:v>1200</c:v>
                </c:pt>
                <c:pt idx="35">
                  <c:v>1200</c:v>
                </c:pt>
                <c:pt idx="36">
                  <c:v>1200</c:v>
                </c:pt>
                <c:pt idx="37">
                  <c:v>1200</c:v>
                </c:pt>
                <c:pt idx="38">
                  <c:v>1200</c:v>
                </c:pt>
                <c:pt idx="39">
                  <c:v>1200</c:v>
                </c:pt>
                <c:pt idx="40">
                  <c:v>1200</c:v>
                </c:pt>
                <c:pt idx="41">
                  <c:v>1200</c:v>
                </c:pt>
                <c:pt idx="42">
                  <c:v>1200</c:v>
                </c:pt>
                <c:pt idx="43">
                  <c:v>1200</c:v>
                </c:pt>
                <c:pt idx="44">
                  <c:v>1200</c:v>
                </c:pt>
                <c:pt idx="45">
                  <c:v>1200</c:v>
                </c:pt>
                <c:pt idx="46">
                  <c:v>1200</c:v>
                </c:pt>
                <c:pt idx="47">
                  <c:v>1200</c:v>
                </c:pt>
                <c:pt idx="48">
                  <c:v>1200</c:v>
                </c:pt>
                <c:pt idx="49">
                  <c:v>1200</c:v>
                </c:pt>
                <c:pt idx="50">
                  <c:v>1200</c:v>
                </c:pt>
                <c:pt idx="51">
                  <c:v>1200</c:v>
                </c:pt>
                <c:pt idx="52">
                  <c:v>1200</c:v>
                </c:pt>
                <c:pt idx="53">
                  <c:v>1200</c:v>
                </c:pt>
                <c:pt idx="54">
                  <c:v>1200</c:v>
                </c:pt>
                <c:pt idx="55">
                  <c:v>1200</c:v>
                </c:pt>
                <c:pt idx="56">
                  <c:v>1200</c:v>
                </c:pt>
                <c:pt idx="57">
                  <c:v>1200</c:v>
                </c:pt>
                <c:pt idx="58">
                  <c:v>1200</c:v>
                </c:pt>
                <c:pt idx="59">
                  <c:v>1200</c:v>
                </c:pt>
                <c:pt idx="60">
                  <c:v>1200</c:v>
                </c:pt>
                <c:pt idx="61">
                  <c:v>1200</c:v>
                </c:pt>
                <c:pt idx="62">
                  <c:v>1200</c:v>
                </c:pt>
                <c:pt idx="63">
                  <c:v>1200</c:v>
                </c:pt>
                <c:pt idx="64">
                  <c:v>1200</c:v>
                </c:pt>
                <c:pt idx="65">
                  <c:v>1200</c:v>
                </c:pt>
                <c:pt idx="66">
                  <c:v>1200</c:v>
                </c:pt>
                <c:pt idx="67">
                  <c:v>1200</c:v>
                </c:pt>
                <c:pt idx="68">
                  <c:v>1200</c:v>
                </c:pt>
                <c:pt idx="69">
                  <c:v>1200</c:v>
                </c:pt>
                <c:pt idx="70">
                  <c:v>1200</c:v>
                </c:pt>
                <c:pt idx="71">
                  <c:v>1200</c:v>
                </c:pt>
                <c:pt idx="72">
                  <c:v>1200</c:v>
                </c:pt>
                <c:pt idx="73">
                  <c:v>1200</c:v>
                </c:pt>
                <c:pt idx="74">
                  <c:v>1200</c:v>
                </c:pt>
                <c:pt idx="75">
                  <c:v>1200</c:v>
                </c:pt>
                <c:pt idx="76">
                  <c:v>1200</c:v>
                </c:pt>
                <c:pt idx="77">
                  <c:v>1200</c:v>
                </c:pt>
                <c:pt idx="78">
                  <c:v>1200</c:v>
                </c:pt>
                <c:pt idx="79">
                  <c:v>1200</c:v>
                </c:pt>
                <c:pt idx="80">
                  <c:v>1200</c:v>
                </c:pt>
                <c:pt idx="81">
                  <c:v>1200</c:v>
                </c:pt>
                <c:pt idx="82">
                  <c:v>1200</c:v>
                </c:pt>
                <c:pt idx="83">
                  <c:v>1200</c:v>
                </c:pt>
                <c:pt idx="84">
                  <c:v>1200</c:v>
                </c:pt>
                <c:pt idx="85">
                  <c:v>1200</c:v>
                </c:pt>
                <c:pt idx="86">
                  <c:v>1200</c:v>
                </c:pt>
                <c:pt idx="87">
                  <c:v>1200</c:v>
                </c:pt>
                <c:pt idx="88">
                  <c:v>1200</c:v>
                </c:pt>
                <c:pt idx="89">
                  <c:v>1200</c:v>
                </c:pt>
                <c:pt idx="90">
                  <c:v>1200</c:v>
                </c:pt>
                <c:pt idx="91">
                  <c:v>1200</c:v>
                </c:pt>
                <c:pt idx="92">
                  <c:v>1200</c:v>
                </c:pt>
                <c:pt idx="93">
                  <c:v>1200</c:v>
                </c:pt>
                <c:pt idx="94">
                  <c:v>1200</c:v>
                </c:pt>
                <c:pt idx="95">
                  <c:v>1200</c:v>
                </c:pt>
                <c:pt idx="96">
                  <c:v>1200</c:v>
                </c:pt>
                <c:pt idx="97">
                  <c:v>1200</c:v>
                </c:pt>
                <c:pt idx="98">
                  <c:v>1200</c:v>
                </c:pt>
                <c:pt idx="99">
                  <c:v>1200</c:v>
                </c:pt>
                <c:pt idx="100">
                  <c:v>1200</c:v>
                </c:pt>
                <c:pt idx="101">
                  <c:v>1200</c:v>
                </c:pt>
                <c:pt idx="102">
                  <c:v>1200</c:v>
                </c:pt>
                <c:pt idx="103">
                  <c:v>1200</c:v>
                </c:pt>
                <c:pt idx="104">
                  <c:v>1200</c:v>
                </c:pt>
                <c:pt idx="105">
                  <c:v>1200</c:v>
                </c:pt>
                <c:pt idx="106">
                  <c:v>1200</c:v>
                </c:pt>
                <c:pt idx="107">
                  <c:v>1200</c:v>
                </c:pt>
                <c:pt idx="108">
                  <c:v>1200</c:v>
                </c:pt>
                <c:pt idx="109">
                  <c:v>1200</c:v>
                </c:pt>
                <c:pt idx="110">
                  <c:v>1200</c:v>
                </c:pt>
                <c:pt idx="111">
                  <c:v>1200</c:v>
                </c:pt>
                <c:pt idx="112">
                  <c:v>1200</c:v>
                </c:pt>
                <c:pt idx="113">
                  <c:v>1200</c:v>
                </c:pt>
                <c:pt idx="114">
                  <c:v>1200</c:v>
                </c:pt>
                <c:pt idx="115">
                  <c:v>1200</c:v>
                </c:pt>
                <c:pt idx="116">
                  <c:v>1200</c:v>
                </c:pt>
                <c:pt idx="117">
                  <c:v>1200</c:v>
                </c:pt>
                <c:pt idx="118">
                  <c:v>1200</c:v>
                </c:pt>
                <c:pt idx="119">
                  <c:v>1200</c:v>
                </c:pt>
                <c:pt idx="120">
                  <c:v>1200</c:v>
                </c:pt>
                <c:pt idx="121">
                  <c:v>1200</c:v>
                </c:pt>
                <c:pt idx="122">
                  <c:v>1200</c:v>
                </c:pt>
                <c:pt idx="123">
                  <c:v>1200</c:v>
                </c:pt>
                <c:pt idx="124">
                  <c:v>1200</c:v>
                </c:pt>
                <c:pt idx="125">
                  <c:v>1200</c:v>
                </c:pt>
                <c:pt idx="126">
                  <c:v>1200</c:v>
                </c:pt>
                <c:pt idx="127">
                  <c:v>1200</c:v>
                </c:pt>
                <c:pt idx="128">
                  <c:v>1200</c:v>
                </c:pt>
                <c:pt idx="129">
                  <c:v>1200</c:v>
                </c:pt>
                <c:pt idx="130">
                  <c:v>1200</c:v>
                </c:pt>
                <c:pt idx="131">
                  <c:v>1200</c:v>
                </c:pt>
                <c:pt idx="132">
                  <c:v>1200</c:v>
                </c:pt>
                <c:pt idx="133">
                  <c:v>1200</c:v>
                </c:pt>
                <c:pt idx="134">
                  <c:v>1200</c:v>
                </c:pt>
                <c:pt idx="135">
                  <c:v>1200</c:v>
                </c:pt>
                <c:pt idx="136">
                  <c:v>1200</c:v>
                </c:pt>
                <c:pt idx="137">
                  <c:v>1200</c:v>
                </c:pt>
                <c:pt idx="138">
                  <c:v>1200</c:v>
                </c:pt>
                <c:pt idx="139">
                  <c:v>1200</c:v>
                </c:pt>
                <c:pt idx="140">
                  <c:v>1200</c:v>
                </c:pt>
                <c:pt idx="141">
                  <c:v>1200</c:v>
                </c:pt>
                <c:pt idx="142">
                  <c:v>1200</c:v>
                </c:pt>
                <c:pt idx="143">
                  <c:v>1200</c:v>
                </c:pt>
                <c:pt idx="144">
                  <c:v>1200</c:v>
                </c:pt>
                <c:pt idx="145">
                  <c:v>1200</c:v>
                </c:pt>
                <c:pt idx="146">
                  <c:v>1200</c:v>
                </c:pt>
                <c:pt idx="147">
                  <c:v>1200</c:v>
                </c:pt>
                <c:pt idx="148">
                  <c:v>1200</c:v>
                </c:pt>
                <c:pt idx="149">
                  <c:v>1200</c:v>
                </c:pt>
                <c:pt idx="150">
                  <c:v>1200</c:v>
                </c:pt>
                <c:pt idx="151">
                  <c:v>1200</c:v>
                </c:pt>
                <c:pt idx="152">
                  <c:v>1200</c:v>
                </c:pt>
                <c:pt idx="153">
                  <c:v>1200</c:v>
                </c:pt>
                <c:pt idx="154">
                  <c:v>1200</c:v>
                </c:pt>
                <c:pt idx="155">
                  <c:v>1200</c:v>
                </c:pt>
                <c:pt idx="156">
                  <c:v>1200</c:v>
                </c:pt>
                <c:pt idx="157">
                  <c:v>1200</c:v>
                </c:pt>
                <c:pt idx="158">
                  <c:v>1200</c:v>
                </c:pt>
                <c:pt idx="159">
                  <c:v>1200</c:v>
                </c:pt>
                <c:pt idx="160">
                  <c:v>1200</c:v>
                </c:pt>
                <c:pt idx="161">
                  <c:v>1200</c:v>
                </c:pt>
                <c:pt idx="162">
                  <c:v>1200</c:v>
                </c:pt>
                <c:pt idx="163">
                  <c:v>1200</c:v>
                </c:pt>
                <c:pt idx="164">
                  <c:v>1200</c:v>
                </c:pt>
                <c:pt idx="165">
                  <c:v>1200</c:v>
                </c:pt>
                <c:pt idx="166">
                  <c:v>1200</c:v>
                </c:pt>
                <c:pt idx="167">
                  <c:v>1200</c:v>
                </c:pt>
                <c:pt idx="168">
                  <c:v>1200</c:v>
                </c:pt>
                <c:pt idx="169">
                  <c:v>1200</c:v>
                </c:pt>
                <c:pt idx="170">
                  <c:v>1200</c:v>
                </c:pt>
                <c:pt idx="171">
                  <c:v>1200</c:v>
                </c:pt>
                <c:pt idx="172">
                  <c:v>1200</c:v>
                </c:pt>
                <c:pt idx="173">
                  <c:v>1200</c:v>
                </c:pt>
                <c:pt idx="174">
                  <c:v>1200</c:v>
                </c:pt>
                <c:pt idx="175">
                  <c:v>1200</c:v>
                </c:pt>
                <c:pt idx="176">
                  <c:v>1200</c:v>
                </c:pt>
                <c:pt idx="177">
                  <c:v>1200</c:v>
                </c:pt>
                <c:pt idx="178">
                  <c:v>1200</c:v>
                </c:pt>
                <c:pt idx="179">
                  <c:v>1200</c:v>
                </c:pt>
                <c:pt idx="180">
                  <c:v>1200</c:v>
                </c:pt>
                <c:pt idx="181">
                  <c:v>1200</c:v>
                </c:pt>
                <c:pt idx="182">
                  <c:v>1200</c:v>
                </c:pt>
                <c:pt idx="183">
                  <c:v>1200</c:v>
                </c:pt>
                <c:pt idx="184">
                  <c:v>1200</c:v>
                </c:pt>
                <c:pt idx="185">
                  <c:v>1200</c:v>
                </c:pt>
                <c:pt idx="186">
                  <c:v>1200</c:v>
                </c:pt>
                <c:pt idx="187">
                  <c:v>1200</c:v>
                </c:pt>
                <c:pt idx="188">
                  <c:v>1200</c:v>
                </c:pt>
                <c:pt idx="189">
                  <c:v>1200</c:v>
                </c:pt>
                <c:pt idx="190">
                  <c:v>1200</c:v>
                </c:pt>
                <c:pt idx="191">
                  <c:v>1200</c:v>
                </c:pt>
                <c:pt idx="192">
                  <c:v>1200</c:v>
                </c:pt>
                <c:pt idx="193">
                  <c:v>1200</c:v>
                </c:pt>
                <c:pt idx="194">
                  <c:v>1200</c:v>
                </c:pt>
                <c:pt idx="195">
                  <c:v>1200</c:v>
                </c:pt>
                <c:pt idx="196">
                  <c:v>1200</c:v>
                </c:pt>
                <c:pt idx="197">
                  <c:v>1200</c:v>
                </c:pt>
                <c:pt idx="198">
                  <c:v>1200</c:v>
                </c:pt>
                <c:pt idx="199">
                  <c:v>1200</c:v>
                </c:pt>
                <c:pt idx="200">
                  <c:v>1200</c:v>
                </c:pt>
                <c:pt idx="201">
                  <c:v>1200</c:v>
                </c:pt>
                <c:pt idx="202">
                  <c:v>1200</c:v>
                </c:pt>
                <c:pt idx="203">
                  <c:v>1200</c:v>
                </c:pt>
                <c:pt idx="204">
                  <c:v>1200</c:v>
                </c:pt>
                <c:pt idx="205">
                  <c:v>1200</c:v>
                </c:pt>
                <c:pt idx="206">
                  <c:v>1200</c:v>
                </c:pt>
                <c:pt idx="207">
                  <c:v>1200</c:v>
                </c:pt>
                <c:pt idx="208">
                  <c:v>1200</c:v>
                </c:pt>
                <c:pt idx="209">
                  <c:v>1200</c:v>
                </c:pt>
                <c:pt idx="210">
                  <c:v>1200</c:v>
                </c:pt>
                <c:pt idx="211">
                  <c:v>1200</c:v>
                </c:pt>
                <c:pt idx="212">
                  <c:v>1200</c:v>
                </c:pt>
                <c:pt idx="213">
                  <c:v>1200</c:v>
                </c:pt>
                <c:pt idx="214">
                  <c:v>1200</c:v>
                </c:pt>
                <c:pt idx="215">
                  <c:v>1200</c:v>
                </c:pt>
                <c:pt idx="216">
                  <c:v>1200</c:v>
                </c:pt>
                <c:pt idx="217">
                  <c:v>1200</c:v>
                </c:pt>
                <c:pt idx="218">
                  <c:v>1200</c:v>
                </c:pt>
                <c:pt idx="219">
                  <c:v>1200</c:v>
                </c:pt>
                <c:pt idx="220">
                  <c:v>1200</c:v>
                </c:pt>
                <c:pt idx="221">
                  <c:v>1200</c:v>
                </c:pt>
                <c:pt idx="222">
                  <c:v>1200</c:v>
                </c:pt>
                <c:pt idx="223">
                  <c:v>1200</c:v>
                </c:pt>
                <c:pt idx="224">
                  <c:v>1200</c:v>
                </c:pt>
                <c:pt idx="225">
                  <c:v>1200</c:v>
                </c:pt>
                <c:pt idx="226">
                  <c:v>1200</c:v>
                </c:pt>
                <c:pt idx="227">
                  <c:v>1200</c:v>
                </c:pt>
                <c:pt idx="228">
                  <c:v>1200</c:v>
                </c:pt>
                <c:pt idx="229">
                  <c:v>1200</c:v>
                </c:pt>
                <c:pt idx="230">
                  <c:v>1200</c:v>
                </c:pt>
                <c:pt idx="231">
                  <c:v>1200</c:v>
                </c:pt>
                <c:pt idx="232">
                  <c:v>1200</c:v>
                </c:pt>
                <c:pt idx="233">
                  <c:v>1200</c:v>
                </c:pt>
                <c:pt idx="234">
                  <c:v>1200</c:v>
                </c:pt>
                <c:pt idx="235">
                  <c:v>1200</c:v>
                </c:pt>
                <c:pt idx="236">
                  <c:v>1200</c:v>
                </c:pt>
                <c:pt idx="237">
                  <c:v>1200</c:v>
                </c:pt>
                <c:pt idx="238">
                  <c:v>1200</c:v>
                </c:pt>
                <c:pt idx="239">
                  <c:v>1200</c:v>
                </c:pt>
                <c:pt idx="240">
                  <c:v>1200</c:v>
                </c:pt>
                <c:pt idx="241">
                  <c:v>1200</c:v>
                </c:pt>
                <c:pt idx="242">
                  <c:v>1200</c:v>
                </c:pt>
                <c:pt idx="243">
                  <c:v>1200</c:v>
                </c:pt>
                <c:pt idx="244">
                  <c:v>1200</c:v>
                </c:pt>
                <c:pt idx="245">
                  <c:v>1200</c:v>
                </c:pt>
                <c:pt idx="246">
                  <c:v>1200</c:v>
                </c:pt>
                <c:pt idx="247">
                  <c:v>1200</c:v>
                </c:pt>
                <c:pt idx="248">
                  <c:v>1200</c:v>
                </c:pt>
                <c:pt idx="249">
                  <c:v>1200</c:v>
                </c:pt>
                <c:pt idx="250">
                  <c:v>1200</c:v>
                </c:pt>
                <c:pt idx="251">
                  <c:v>1200</c:v>
                </c:pt>
                <c:pt idx="252">
                  <c:v>1200</c:v>
                </c:pt>
                <c:pt idx="253">
                  <c:v>1200</c:v>
                </c:pt>
                <c:pt idx="254">
                  <c:v>1200</c:v>
                </c:pt>
                <c:pt idx="255">
                  <c:v>1200</c:v>
                </c:pt>
                <c:pt idx="256">
                  <c:v>1200</c:v>
                </c:pt>
                <c:pt idx="257">
                  <c:v>1200</c:v>
                </c:pt>
                <c:pt idx="258">
                  <c:v>1200</c:v>
                </c:pt>
                <c:pt idx="259">
                  <c:v>1200</c:v>
                </c:pt>
                <c:pt idx="260">
                  <c:v>1200</c:v>
                </c:pt>
                <c:pt idx="261">
                  <c:v>1200</c:v>
                </c:pt>
                <c:pt idx="262">
                  <c:v>1200</c:v>
                </c:pt>
                <c:pt idx="263">
                  <c:v>1200</c:v>
                </c:pt>
                <c:pt idx="264">
                  <c:v>1200</c:v>
                </c:pt>
                <c:pt idx="265">
                  <c:v>1200</c:v>
                </c:pt>
                <c:pt idx="266">
                  <c:v>1200</c:v>
                </c:pt>
                <c:pt idx="267">
                  <c:v>1200</c:v>
                </c:pt>
                <c:pt idx="268">
                  <c:v>1200</c:v>
                </c:pt>
                <c:pt idx="269">
                  <c:v>1200</c:v>
                </c:pt>
                <c:pt idx="270">
                  <c:v>1200</c:v>
                </c:pt>
                <c:pt idx="271">
                  <c:v>1200</c:v>
                </c:pt>
                <c:pt idx="272">
                  <c:v>1200</c:v>
                </c:pt>
                <c:pt idx="273">
                  <c:v>1200</c:v>
                </c:pt>
                <c:pt idx="274">
                  <c:v>1200</c:v>
                </c:pt>
                <c:pt idx="275">
                  <c:v>1200</c:v>
                </c:pt>
                <c:pt idx="276">
                  <c:v>1200</c:v>
                </c:pt>
                <c:pt idx="277">
                  <c:v>1200</c:v>
                </c:pt>
                <c:pt idx="278">
                  <c:v>1200</c:v>
                </c:pt>
                <c:pt idx="279">
                  <c:v>1200</c:v>
                </c:pt>
                <c:pt idx="280">
                  <c:v>1200</c:v>
                </c:pt>
                <c:pt idx="281">
                  <c:v>1200</c:v>
                </c:pt>
                <c:pt idx="282">
                  <c:v>1200</c:v>
                </c:pt>
                <c:pt idx="283">
                  <c:v>1200</c:v>
                </c:pt>
                <c:pt idx="284">
                  <c:v>1200</c:v>
                </c:pt>
                <c:pt idx="285">
                  <c:v>1200</c:v>
                </c:pt>
                <c:pt idx="286">
                  <c:v>1200</c:v>
                </c:pt>
                <c:pt idx="287">
                  <c:v>1200</c:v>
                </c:pt>
                <c:pt idx="288">
                  <c:v>1200</c:v>
                </c:pt>
                <c:pt idx="289">
                  <c:v>1200</c:v>
                </c:pt>
                <c:pt idx="290">
                  <c:v>1200</c:v>
                </c:pt>
                <c:pt idx="291">
                  <c:v>1200</c:v>
                </c:pt>
                <c:pt idx="292">
                  <c:v>1200</c:v>
                </c:pt>
                <c:pt idx="293">
                  <c:v>1200</c:v>
                </c:pt>
                <c:pt idx="294">
                  <c:v>1200</c:v>
                </c:pt>
                <c:pt idx="295">
                  <c:v>1200</c:v>
                </c:pt>
                <c:pt idx="296">
                  <c:v>1200</c:v>
                </c:pt>
                <c:pt idx="297">
                  <c:v>1200</c:v>
                </c:pt>
                <c:pt idx="298">
                  <c:v>1200</c:v>
                </c:pt>
                <c:pt idx="299">
                  <c:v>1200</c:v>
                </c:pt>
                <c:pt idx="300">
                  <c:v>1200</c:v>
                </c:pt>
                <c:pt idx="301">
                  <c:v>1200</c:v>
                </c:pt>
                <c:pt idx="302">
                  <c:v>1200</c:v>
                </c:pt>
                <c:pt idx="303">
                  <c:v>1200</c:v>
                </c:pt>
                <c:pt idx="304">
                  <c:v>1200</c:v>
                </c:pt>
                <c:pt idx="305">
                  <c:v>1200</c:v>
                </c:pt>
                <c:pt idx="306">
                  <c:v>1200</c:v>
                </c:pt>
                <c:pt idx="307">
                  <c:v>1200</c:v>
                </c:pt>
                <c:pt idx="308">
                  <c:v>1200</c:v>
                </c:pt>
                <c:pt idx="309">
                  <c:v>1200</c:v>
                </c:pt>
                <c:pt idx="310">
                  <c:v>1200</c:v>
                </c:pt>
                <c:pt idx="311">
                  <c:v>1200</c:v>
                </c:pt>
                <c:pt idx="312">
                  <c:v>1200</c:v>
                </c:pt>
                <c:pt idx="313">
                  <c:v>1200</c:v>
                </c:pt>
                <c:pt idx="314">
                  <c:v>1200</c:v>
                </c:pt>
                <c:pt idx="315">
                  <c:v>1200</c:v>
                </c:pt>
                <c:pt idx="316">
                  <c:v>1200</c:v>
                </c:pt>
                <c:pt idx="317">
                  <c:v>1200</c:v>
                </c:pt>
                <c:pt idx="318">
                  <c:v>1200</c:v>
                </c:pt>
                <c:pt idx="319">
                  <c:v>1200</c:v>
                </c:pt>
                <c:pt idx="320">
                  <c:v>1200</c:v>
                </c:pt>
                <c:pt idx="321">
                  <c:v>1200</c:v>
                </c:pt>
                <c:pt idx="322">
                  <c:v>1200</c:v>
                </c:pt>
                <c:pt idx="323">
                  <c:v>1200</c:v>
                </c:pt>
                <c:pt idx="324">
                  <c:v>1200</c:v>
                </c:pt>
                <c:pt idx="325">
                  <c:v>1200</c:v>
                </c:pt>
                <c:pt idx="326">
                  <c:v>1200</c:v>
                </c:pt>
                <c:pt idx="327">
                  <c:v>1200</c:v>
                </c:pt>
                <c:pt idx="328">
                  <c:v>1200</c:v>
                </c:pt>
                <c:pt idx="329">
                  <c:v>1200</c:v>
                </c:pt>
                <c:pt idx="330">
                  <c:v>1200</c:v>
                </c:pt>
                <c:pt idx="331">
                  <c:v>1200</c:v>
                </c:pt>
                <c:pt idx="332">
                  <c:v>1200</c:v>
                </c:pt>
                <c:pt idx="333">
                  <c:v>1200</c:v>
                </c:pt>
                <c:pt idx="334">
                  <c:v>1200</c:v>
                </c:pt>
                <c:pt idx="335">
                  <c:v>1200</c:v>
                </c:pt>
                <c:pt idx="336">
                  <c:v>1200</c:v>
                </c:pt>
                <c:pt idx="337">
                  <c:v>1200</c:v>
                </c:pt>
                <c:pt idx="338">
                  <c:v>1200</c:v>
                </c:pt>
                <c:pt idx="339">
                  <c:v>1200</c:v>
                </c:pt>
                <c:pt idx="340">
                  <c:v>1200</c:v>
                </c:pt>
                <c:pt idx="341">
                  <c:v>1200</c:v>
                </c:pt>
                <c:pt idx="342">
                  <c:v>1200</c:v>
                </c:pt>
                <c:pt idx="343">
                  <c:v>1200</c:v>
                </c:pt>
                <c:pt idx="344">
                  <c:v>1200</c:v>
                </c:pt>
                <c:pt idx="345">
                  <c:v>1200</c:v>
                </c:pt>
                <c:pt idx="346">
                  <c:v>1200</c:v>
                </c:pt>
                <c:pt idx="347">
                  <c:v>1200</c:v>
                </c:pt>
                <c:pt idx="348">
                  <c:v>1200</c:v>
                </c:pt>
                <c:pt idx="349">
                  <c:v>1200</c:v>
                </c:pt>
                <c:pt idx="350">
                  <c:v>1200</c:v>
                </c:pt>
                <c:pt idx="351">
                  <c:v>1200</c:v>
                </c:pt>
                <c:pt idx="352">
                  <c:v>1200</c:v>
                </c:pt>
                <c:pt idx="353">
                  <c:v>1200</c:v>
                </c:pt>
                <c:pt idx="354">
                  <c:v>1200</c:v>
                </c:pt>
                <c:pt idx="355">
                  <c:v>1200</c:v>
                </c:pt>
                <c:pt idx="356">
                  <c:v>1200</c:v>
                </c:pt>
                <c:pt idx="357">
                  <c:v>1200</c:v>
                </c:pt>
                <c:pt idx="358">
                  <c:v>1200</c:v>
                </c:pt>
                <c:pt idx="359">
                  <c:v>1200</c:v>
                </c:pt>
                <c:pt idx="360">
                  <c:v>1200</c:v>
                </c:pt>
                <c:pt idx="361">
                  <c:v>1200</c:v>
                </c:pt>
                <c:pt idx="362">
                  <c:v>1200</c:v>
                </c:pt>
                <c:pt idx="363">
                  <c:v>1200</c:v>
                </c:pt>
                <c:pt idx="364">
                  <c:v>1200</c:v>
                </c:pt>
                <c:pt idx="365">
                  <c:v>1200</c:v>
                </c:pt>
                <c:pt idx="366">
                  <c:v>1200</c:v>
                </c:pt>
                <c:pt idx="367">
                  <c:v>1200</c:v>
                </c:pt>
                <c:pt idx="368">
                  <c:v>1200</c:v>
                </c:pt>
                <c:pt idx="369">
                  <c:v>1200</c:v>
                </c:pt>
                <c:pt idx="370">
                  <c:v>1200</c:v>
                </c:pt>
                <c:pt idx="371">
                  <c:v>1200</c:v>
                </c:pt>
                <c:pt idx="372">
                  <c:v>1200</c:v>
                </c:pt>
                <c:pt idx="373">
                  <c:v>1200</c:v>
                </c:pt>
                <c:pt idx="374">
                  <c:v>1200</c:v>
                </c:pt>
                <c:pt idx="375">
                  <c:v>1200</c:v>
                </c:pt>
                <c:pt idx="376">
                  <c:v>1200</c:v>
                </c:pt>
                <c:pt idx="377">
                  <c:v>1200</c:v>
                </c:pt>
                <c:pt idx="378">
                  <c:v>1200</c:v>
                </c:pt>
                <c:pt idx="379">
                  <c:v>1200</c:v>
                </c:pt>
                <c:pt idx="380">
                  <c:v>1200</c:v>
                </c:pt>
                <c:pt idx="381">
                  <c:v>1200</c:v>
                </c:pt>
                <c:pt idx="382">
                  <c:v>1200</c:v>
                </c:pt>
                <c:pt idx="383">
                  <c:v>1200</c:v>
                </c:pt>
                <c:pt idx="384">
                  <c:v>1200</c:v>
                </c:pt>
                <c:pt idx="385">
                  <c:v>1200</c:v>
                </c:pt>
                <c:pt idx="386">
                  <c:v>1200</c:v>
                </c:pt>
                <c:pt idx="387">
                  <c:v>1200</c:v>
                </c:pt>
                <c:pt idx="388">
                  <c:v>1200</c:v>
                </c:pt>
                <c:pt idx="389">
                  <c:v>1200</c:v>
                </c:pt>
                <c:pt idx="390">
                  <c:v>1200</c:v>
                </c:pt>
                <c:pt idx="391">
                  <c:v>1200</c:v>
                </c:pt>
                <c:pt idx="392">
                  <c:v>1200</c:v>
                </c:pt>
                <c:pt idx="393">
                  <c:v>1200</c:v>
                </c:pt>
                <c:pt idx="394">
                  <c:v>1200</c:v>
                </c:pt>
                <c:pt idx="395">
                  <c:v>1200</c:v>
                </c:pt>
                <c:pt idx="396">
                  <c:v>1200</c:v>
                </c:pt>
                <c:pt idx="397">
                  <c:v>1200</c:v>
                </c:pt>
                <c:pt idx="398">
                  <c:v>1200</c:v>
                </c:pt>
                <c:pt idx="399">
                  <c:v>1200</c:v>
                </c:pt>
                <c:pt idx="400">
                  <c:v>1200</c:v>
                </c:pt>
                <c:pt idx="401">
                  <c:v>1200</c:v>
                </c:pt>
                <c:pt idx="402">
                  <c:v>1200</c:v>
                </c:pt>
                <c:pt idx="403">
                  <c:v>1200</c:v>
                </c:pt>
                <c:pt idx="404">
                  <c:v>1200</c:v>
                </c:pt>
                <c:pt idx="405">
                  <c:v>1200</c:v>
                </c:pt>
                <c:pt idx="406">
                  <c:v>1200</c:v>
                </c:pt>
                <c:pt idx="407">
                  <c:v>1200</c:v>
                </c:pt>
                <c:pt idx="408">
                  <c:v>1200</c:v>
                </c:pt>
                <c:pt idx="409">
                  <c:v>1200</c:v>
                </c:pt>
                <c:pt idx="410">
                  <c:v>1200</c:v>
                </c:pt>
                <c:pt idx="411">
                  <c:v>1200</c:v>
                </c:pt>
                <c:pt idx="412">
                  <c:v>1200</c:v>
                </c:pt>
                <c:pt idx="413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94-0845-A798-636D2DBCE126}"/>
            </c:ext>
          </c:extLst>
        </c:ser>
        <c:ser>
          <c:idx val="3"/>
          <c:order val="3"/>
          <c:tx>
            <c:strRef>
              <c:f>Statistics!$F$1</c:f>
              <c:strCache>
                <c:ptCount val="1"/>
                <c:pt idx="0">
                  <c:v>Maximum rent price you would pay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Statistics!$F$2:$F$415</c:f>
              <c:numCache>
                <c:formatCode>#,##0.00</c:formatCode>
                <c:ptCount val="414"/>
                <c:pt idx="0">
                  <c:v>3000</c:v>
                </c:pt>
                <c:pt idx="1">
                  <c:v>1800</c:v>
                </c:pt>
                <c:pt idx="2">
                  <c:v>1200</c:v>
                </c:pt>
                <c:pt idx="3">
                  <c:v>1200</c:v>
                </c:pt>
                <c:pt idx="4">
                  <c:v>800</c:v>
                </c:pt>
                <c:pt idx="5">
                  <c:v>1450</c:v>
                </c:pt>
                <c:pt idx="6">
                  <c:v>1000</c:v>
                </c:pt>
                <c:pt idx="7">
                  <c:v>800</c:v>
                </c:pt>
                <c:pt idx="8">
                  <c:v>1200</c:v>
                </c:pt>
                <c:pt idx="9">
                  <c:v>1200</c:v>
                </c:pt>
                <c:pt idx="10">
                  <c:v>1000</c:v>
                </c:pt>
                <c:pt idx="11">
                  <c:v>475</c:v>
                </c:pt>
                <c:pt idx="12">
                  <c:v>900</c:v>
                </c:pt>
                <c:pt idx="13">
                  <c:v>900</c:v>
                </c:pt>
                <c:pt idx="14">
                  <c:v>1000</c:v>
                </c:pt>
                <c:pt idx="15">
                  <c:v>850</c:v>
                </c:pt>
                <c:pt idx="16">
                  <c:v>1500</c:v>
                </c:pt>
                <c:pt idx="17">
                  <c:v>1200</c:v>
                </c:pt>
                <c:pt idx="18">
                  <c:v>1000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2500</c:v>
                </c:pt>
                <c:pt idx="23">
                  <c:v>1400</c:v>
                </c:pt>
                <c:pt idx="24">
                  <c:v>3500</c:v>
                </c:pt>
                <c:pt idx="25">
                  <c:v>1000</c:v>
                </c:pt>
                <c:pt idx="26">
                  <c:v>1300</c:v>
                </c:pt>
                <c:pt idx="27">
                  <c:v>200</c:v>
                </c:pt>
                <c:pt idx="28">
                  <c:v>1700</c:v>
                </c:pt>
                <c:pt idx="29">
                  <c:v>1700</c:v>
                </c:pt>
                <c:pt idx="30">
                  <c:v>1200</c:v>
                </c:pt>
                <c:pt idx="31">
                  <c:v>900</c:v>
                </c:pt>
                <c:pt idx="32">
                  <c:v>2000</c:v>
                </c:pt>
                <c:pt idx="33">
                  <c:v>1500</c:v>
                </c:pt>
                <c:pt idx="34">
                  <c:v>1200</c:v>
                </c:pt>
                <c:pt idx="35">
                  <c:v>900</c:v>
                </c:pt>
                <c:pt idx="36">
                  <c:v>1000</c:v>
                </c:pt>
                <c:pt idx="37">
                  <c:v>2000</c:v>
                </c:pt>
                <c:pt idx="38">
                  <c:v>1500</c:v>
                </c:pt>
                <c:pt idx="39">
                  <c:v>1100</c:v>
                </c:pt>
                <c:pt idx="40">
                  <c:v>770</c:v>
                </c:pt>
                <c:pt idx="41">
                  <c:v>800</c:v>
                </c:pt>
                <c:pt idx="42">
                  <c:v>1300</c:v>
                </c:pt>
                <c:pt idx="43">
                  <c:v>1500</c:v>
                </c:pt>
                <c:pt idx="44">
                  <c:v>1200</c:v>
                </c:pt>
                <c:pt idx="45">
                  <c:v>1400</c:v>
                </c:pt>
                <c:pt idx="46">
                  <c:v>1400</c:v>
                </c:pt>
                <c:pt idx="47">
                  <c:v>1200</c:v>
                </c:pt>
                <c:pt idx="48">
                  <c:v>1500</c:v>
                </c:pt>
                <c:pt idx="49">
                  <c:v>100</c:v>
                </c:pt>
                <c:pt idx="50">
                  <c:v>600</c:v>
                </c:pt>
                <c:pt idx="51">
                  <c:v>1400</c:v>
                </c:pt>
                <c:pt idx="52">
                  <c:v>1300</c:v>
                </c:pt>
                <c:pt idx="53">
                  <c:v>900</c:v>
                </c:pt>
                <c:pt idx="54">
                  <c:v>1500</c:v>
                </c:pt>
                <c:pt idx="55">
                  <c:v>1500</c:v>
                </c:pt>
                <c:pt idx="56">
                  <c:v>800</c:v>
                </c:pt>
                <c:pt idx="57">
                  <c:v>600</c:v>
                </c:pt>
                <c:pt idx="58">
                  <c:v>1200</c:v>
                </c:pt>
                <c:pt idx="59">
                  <c:v>2000</c:v>
                </c:pt>
                <c:pt idx="60">
                  <c:v>1500</c:v>
                </c:pt>
                <c:pt idx="61">
                  <c:v>1000</c:v>
                </c:pt>
                <c:pt idx="62">
                  <c:v>1000</c:v>
                </c:pt>
                <c:pt idx="63">
                  <c:v>1000</c:v>
                </c:pt>
                <c:pt idx="64">
                  <c:v>2500</c:v>
                </c:pt>
                <c:pt idx="65">
                  <c:v>1300</c:v>
                </c:pt>
                <c:pt idx="66">
                  <c:v>1500</c:v>
                </c:pt>
                <c:pt idx="67">
                  <c:v>600</c:v>
                </c:pt>
                <c:pt idx="68">
                  <c:v>650</c:v>
                </c:pt>
                <c:pt idx="69">
                  <c:v>1800</c:v>
                </c:pt>
                <c:pt idx="70">
                  <c:v>1000</c:v>
                </c:pt>
                <c:pt idx="71">
                  <c:v>1000</c:v>
                </c:pt>
                <c:pt idx="72">
                  <c:v>1000</c:v>
                </c:pt>
                <c:pt idx="73">
                  <c:v>1500</c:v>
                </c:pt>
                <c:pt idx="74">
                  <c:v>900</c:v>
                </c:pt>
                <c:pt idx="75">
                  <c:v>1500</c:v>
                </c:pt>
                <c:pt idx="76">
                  <c:v>1500</c:v>
                </c:pt>
                <c:pt idx="77">
                  <c:v>1500</c:v>
                </c:pt>
                <c:pt idx="78">
                  <c:v>1900</c:v>
                </c:pt>
                <c:pt idx="79">
                  <c:v>1100</c:v>
                </c:pt>
                <c:pt idx="80">
                  <c:v>1000</c:v>
                </c:pt>
                <c:pt idx="81">
                  <c:v>1500</c:v>
                </c:pt>
                <c:pt idx="82">
                  <c:v>850</c:v>
                </c:pt>
                <c:pt idx="83">
                  <c:v>1900</c:v>
                </c:pt>
                <c:pt idx="84">
                  <c:v>1300</c:v>
                </c:pt>
                <c:pt idx="85">
                  <c:v>1500</c:v>
                </c:pt>
                <c:pt idx="86">
                  <c:v>1200</c:v>
                </c:pt>
                <c:pt idx="87">
                  <c:v>900</c:v>
                </c:pt>
                <c:pt idx="88">
                  <c:v>1000</c:v>
                </c:pt>
                <c:pt idx="89">
                  <c:v>2000</c:v>
                </c:pt>
                <c:pt idx="90">
                  <c:v>2000</c:v>
                </c:pt>
                <c:pt idx="91">
                  <c:v>1600</c:v>
                </c:pt>
                <c:pt idx="92">
                  <c:v>1200</c:v>
                </c:pt>
                <c:pt idx="93">
                  <c:v>750</c:v>
                </c:pt>
                <c:pt idx="94">
                  <c:v>1750</c:v>
                </c:pt>
                <c:pt idx="95">
                  <c:v>1200</c:v>
                </c:pt>
                <c:pt idx="96">
                  <c:v>1000</c:v>
                </c:pt>
                <c:pt idx="97">
                  <c:v>2000</c:v>
                </c:pt>
                <c:pt idx="98">
                  <c:v>1500</c:v>
                </c:pt>
                <c:pt idx="99">
                  <c:v>1500</c:v>
                </c:pt>
                <c:pt idx="100">
                  <c:v>1500</c:v>
                </c:pt>
                <c:pt idx="101">
                  <c:v>1100</c:v>
                </c:pt>
                <c:pt idx="102">
                  <c:v>800</c:v>
                </c:pt>
                <c:pt idx="103">
                  <c:v>1400</c:v>
                </c:pt>
                <c:pt idx="104">
                  <c:v>900</c:v>
                </c:pt>
                <c:pt idx="105">
                  <c:v>850</c:v>
                </c:pt>
                <c:pt idx="106">
                  <c:v>1200</c:v>
                </c:pt>
                <c:pt idx="107">
                  <c:v>1000</c:v>
                </c:pt>
                <c:pt idx="108">
                  <c:v>1450</c:v>
                </c:pt>
                <c:pt idx="109">
                  <c:v>1200</c:v>
                </c:pt>
                <c:pt idx="110">
                  <c:v>1300</c:v>
                </c:pt>
                <c:pt idx="111">
                  <c:v>1000</c:v>
                </c:pt>
                <c:pt idx="112">
                  <c:v>1000</c:v>
                </c:pt>
                <c:pt idx="113">
                  <c:v>2000</c:v>
                </c:pt>
                <c:pt idx="114">
                  <c:v>5000</c:v>
                </c:pt>
                <c:pt idx="115">
                  <c:v>850</c:v>
                </c:pt>
                <c:pt idx="116">
                  <c:v>2000</c:v>
                </c:pt>
                <c:pt idx="117">
                  <c:v>2000</c:v>
                </c:pt>
                <c:pt idx="118">
                  <c:v>500</c:v>
                </c:pt>
                <c:pt idx="119">
                  <c:v>6000</c:v>
                </c:pt>
                <c:pt idx="120">
                  <c:v>900</c:v>
                </c:pt>
                <c:pt idx="121">
                  <c:v>1500</c:v>
                </c:pt>
                <c:pt idx="122">
                  <c:v>1500</c:v>
                </c:pt>
                <c:pt idx="123">
                  <c:v>1200</c:v>
                </c:pt>
                <c:pt idx="124">
                  <c:v>2000</c:v>
                </c:pt>
                <c:pt idx="125">
                  <c:v>1300</c:v>
                </c:pt>
                <c:pt idx="126">
                  <c:v>700</c:v>
                </c:pt>
                <c:pt idx="127">
                  <c:v>1100</c:v>
                </c:pt>
                <c:pt idx="128">
                  <c:v>1100</c:v>
                </c:pt>
                <c:pt idx="129">
                  <c:v>700</c:v>
                </c:pt>
                <c:pt idx="130">
                  <c:v>1200</c:v>
                </c:pt>
                <c:pt idx="131">
                  <c:v>1700</c:v>
                </c:pt>
                <c:pt idx="132">
                  <c:v>800</c:v>
                </c:pt>
                <c:pt idx="133">
                  <c:v>1400</c:v>
                </c:pt>
                <c:pt idx="134">
                  <c:v>1400</c:v>
                </c:pt>
                <c:pt idx="135">
                  <c:v>1200</c:v>
                </c:pt>
                <c:pt idx="136">
                  <c:v>5000</c:v>
                </c:pt>
                <c:pt idx="137">
                  <c:v>1500</c:v>
                </c:pt>
                <c:pt idx="138">
                  <c:v>700</c:v>
                </c:pt>
                <c:pt idx="139">
                  <c:v>3000</c:v>
                </c:pt>
                <c:pt idx="140">
                  <c:v>1000</c:v>
                </c:pt>
                <c:pt idx="141">
                  <c:v>1000</c:v>
                </c:pt>
                <c:pt idx="142">
                  <c:v>4000</c:v>
                </c:pt>
                <c:pt idx="143">
                  <c:v>1200</c:v>
                </c:pt>
                <c:pt idx="144">
                  <c:v>2000</c:v>
                </c:pt>
                <c:pt idx="145">
                  <c:v>1300</c:v>
                </c:pt>
                <c:pt idx="146">
                  <c:v>700</c:v>
                </c:pt>
                <c:pt idx="147">
                  <c:v>1050</c:v>
                </c:pt>
                <c:pt idx="148">
                  <c:v>1500</c:v>
                </c:pt>
                <c:pt idx="149">
                  <c:v>1100</c:v>
                </c:pt>
                <c:pt idx="150">
                  <c:v>1100</c:v>
                </c:pt>
                <c:pt idx="151">
                  <c:v>1000</c:v>
                </c:pt>
                <c:pt idx="152">
                  <c:v>1000</c:v>
                </c:pt>
                <c:pt idx="153">
                  <c:v>1500</c:v>
                </c:pt>
                <c:pt idx="154">
                  <c:v>750</c:v>
                </c:pt>
                <c:pt idx="155">
                  <c:v>1300</c:v>
                </c:pt>
                <c:pt idx="156">
                  <c:v>1500</c:v>
                </c:pt>
                <c:pt idx="157">
                  <c:v>1500</c:v>
                </c:pt>
                <c:pt idx="158">
                  <c:v>1400</c:v>
                </c:pt>
                <c:pt idx="159">
                  <c:v>1289.25</c:v>
                </c:pt>
                <c:pt idx="160">
                  <c:v>2000</c:v>
                </c:pt>
                <c:pt idx="161">
                  <c:v>1800</c:v>
                </c:pt>
                <c:pt idx="162">
                  <c:v>1100</c:v>
                </c:pt>
                <c:pt idx="163">
                  <c:v>1000</c:v>
                </c:pt>
                <c:pt idx="164">
                  <c:v>2000</c:v>
                </c:pt>
                <c:pt idx="165">
                  <c:v>1200</c:v>
                </c:pt>
                <c:pt idx="166">
                  <c:v>1400</c:v>
                </c:pt>
                <c:pt idx="167">
                  <c:v>1200</c:v>
                </c:pt>
                <c:pt idx="168">
                  <c:v>700</c:v>
                </c:pt>
                <c:pt idx="169">
                  <c:v>950</c:v>
                </c:pt>
                <c:pt idx="170">
                  <c:v>2500</c:v>
                </c:pt>
                <c:pt idx="171">
                  <c:v>1400</c:v>
                </c:pt>
                <c:pt idx="172">
                  <c:v>1200</c:v>
                </c:pt>
                <c:pt idx="173">
                  <c:v>1500</c:v>
                </c:pt>
                <c:pt idx="174">
                  <c:v>2500</c:v>
                </c:pt>
                <c:pt idx="175">
                  <c:v>1200</c:v>
                </c:pt>
                <c:pt idx="176">
                  <c:v>1200</c:v>
                </c:pt>
                <c:pt idx="177">
                  <c:v>1250</c:v>
                </c:pt>
                <c:pt idx="178">
                  <c:v>800</c:v>
                </c:pt>
                <c:pt idx="179">
                  <c:v>1000</c:v>
                </c:pt>
                <c:pt idx="180">
                  <c:v>2000</c:v>
                </c:pt>
                <c:pt idx="181">
                  <c:v>800</c:v>
                </c:pt>
                <c:pt idx="182">
                  <c:v>2000</c:v>
                </c:pt>
                <c:pt idx="183">
                  <c:v>1500</c:v>
                </c:pt>
                <c:pt idx="184">
                  <c:v>700</c:v>
                </c:pt>
                <c:pt idx="185">
                  <c:v>1500</c:v>
                </c:pt>
                <c:pt idx="186">
                  <c:v>1200</c:v>
                </c:pt>
                <c:pt idx="187">
                  <c:v>1800</c:v>
                </c:pt>
                <c:pt idx="188">
                  <c:v>1200</c:v>
                </c:pt>
                <c:pt idx="189">
                  <c:v>1200</c:v>
                </c:pt>
                <c:pt idx="190">
                  <c:v>800</c:v>
                </c:pt>
                <c:pt idx="191">
                  <c:v>1500</c:v>
                </c:pt>
                <c:pt idx="192">
                  <c:v>1100</c:v>
                </c:pt>
                <c:pt idx="193">
                  <c:v>800</c:v>
                </c:pt>
                <c:pt idx="194">
                  <c:v>2000</c:v>
                </c:pt>
                <c:pt idx="195">
                  <c:v>1200</c:v>
                </c:pt>
                <c:pt idx="196">
                  <c:v>1500</c:v>
                </c:pt>
                <c:pt idx="197">
                  <c:v>1500</c:v>
                </c:pt>
                <c:pt idx="198">
                  <c:v>1000</c:v>
                </c:pt>
                <c:pt idx="199">
                  <c:v>1600</c:v>
                </c:pt>
                <c:pt idx="200">
                  <c:v>2500</c:v>
                </c:pt>
                <c:pt idx="201">
                  <c:v>1750</c:v>
                </c:pt>
                <c:pt idx="202">
                  <c:v>1300</c:v>
                </c:pt>
                <c:pt idx="203">
                  <c:v>900</c:v>
                </c:pt>
                <c:pt idx="204">
                  <c:v>1200</c:v>
                </c:pt>
                <c:pt idx="205">
                  <c:v>1100</c:v>
                </c:pt>
                <c:pt idx="206">
                  <c:v>700</c:v>
                </c:pt>
                <c:pt idx="207">
                  <c:v>1500</c:v>
                </c:pt>
                <c:pt idx="208">
                  <c:v>1500</c:v>
                </c:pt>
                <c:pt idx="209">
                  <c:v>1100</c:v>
                </c:pt>
                <c:pt idx="210">
                  <c:v>1000</c:v>
                </c:pt>
                <c:pt idx="211">
                  <c:v>600</c:v>
                </c:pt>
                <c:pt idx="212">
                  <c:v>1000</c:v>
                </c:pt>
                <c:pt idx="213">
                  <c:v>1500</c:v>
                </c:pt>
                <c:pt idx="214">
                  <c:v>1700</c:v>
                </c:pt>
                <c:pt idx="215">
                  <c:v>1200</c:v>
                </c:pt>
                <c:pt idx="216">
                  <c:v>1500</c:v>
                </c:pt>
                <c:pt idx="217">
                  <c:v>1200</c:v>
                </c:pt>
                <c:pt idx="218">
                  <c:v>1300</c:v>
                </c:pt>
                <c:pt idx="219">
                  <c:v>1000</c:v>
                </c:pt>
                <c:pt idx="220">
                  <c:v>2000</c:v>
                </c:pt>
                <c:pt idx="221">
                  <c:v>1500</c:v>
                </c:pt>
                <c:pt idx="222">
                  <c:v>2500</c:v>
                </c:pt>
                <c:pt idx="223">
                  <c:v>950</c:v>
                </c:pt>
                <c:pt idx="224">
                  <c:v>1200</c:v>
                </c:pt>
                <c:pt idx="225">
                  <c:v>1500</c:v>
                </c:pt>
                <c:pt idx="226">
                  <c:v>2400</c:v>
                </c:pt>
                <c:pt idx="227">
                  <c:v>1000</c:v>
                </c:pt>
                <c:pt idx="228">
                  <c:v>1000</c:v>
                </c:pt>
                <c:pt idx="229">
                  <c:v>1200</c:v>
                </c:pt>
                <c:pt idx="230">
                  <c:v>1600</c:v>
                </c:pt>
                <c:pt idx="231">
                  <c:v>1600</c:v>
                </c:pt>
                <c:pt idx="232">
                  <c:v>1600</c:v>
                </c:pt>
                <c:pt idx="233">
                  <c:v>1200</c:v>
                </c:pt>
                <c:pt idx="234">
                  <c:v>1100</c:v>
                </c:pt>
                <c:pt idx="235">
                  <c:v>1500</c:v>
                </c:pt>
                <c:pt idx="236">
                  <c:v>1500</c:v>
                </c:pt>
                <c:pt idx="237">
                  <c:v>800</c:v>
                </c:pt>
                <c:pt idx="238">
                  <c:v>800</c:v>
                </c:pt>
                <c:pt idx="239">
                  <c:v>3000</c:v>
                </c:pt>
                <c:pt idx="240">
                  <c:v>2000</c:v>
                </c:pt>
                <c:pt idx="241">
                  <c:v>1000</c:v>
                </c:pt>
                <c:pt idx="242">
                  <c:v>1500</c:v>
                </c:pt>
                <c:pt idx="243">
                  <c:v>1600</c:v>
                </c:pt>
                <c:pt idx="244">
                  <c:v>700</c:v>
                </c:pt>
                <c:pt idx="245">
                  <c:v>1500</c:v>
                </c:pt>
                <c:pt idx="246">
                  <c:v>1500</c:v>
                </c:pt>
                <c:pt idx="247">
                  <c:v>1300</c:v>
                </c:pt>
                <c:pt idx="248">
                  <c:v>1010</c:v>
                </c:pt>
                <c:pt idx="249">
                  <c:v>4109</c:v>
                </c:pt>
                <c:pt idx="250">
                  <c:v>900</c:v>
                </c:pt>
                <c:pt idx="251">
                  <c:v>4109</c:v>
                </c:pt>
                <c:pt idx="252">
                  <c:v>1020</c:v>
                </c:pt>
                <c:pt idx="253">
                  <c:v>1400</c:v>
                </c:pt>
                <c:pt idx="254">
                  <c:v>600</c:v>
                </c:pt>
                <c:pt idx="255">
                  <c:v>1600</c:v>
                </c:pt>
                <c:pt idx="256">
                  <c:v>3000</c:v>
                </c:pt>
                <c:pt idx="257">
                  <c:v>100</c:v>
                </c:pt>
                <c:pt idx="258">
                  <c:v>750</c:v>
                </c:pt>
                <c:pt idx="259">
                  <c:v>1000</c:v>
                </c:pt>
                <c:pt idx="260">
                  <c:v>1200</c:v>
                </c:pt>
                <c:pt idx="261">
                  <c:v>2450</c:v>
                </c:pt>
                <c:pt idx="262">
                  <c:v>800</c:v>
                </c:pt>
                <c:pt idx="263">
                  <c:v>1000</c:v>
                </c:pt>
                <c:pt idx="264">
                  <c:v>1100</c:v>
                </c:pt>
                <c:pt idx="265">
                  <c:v>1500</c:v>
                </c:pt>
                <c:pt idx="266">
                  <c:v>750</c:v>
                </c:pt>
                <c:pt idx="267">
                  <c:v>1300</c:v>
                </c:pt>
                <c:pt idx="268">
                  <c:v>1150</c:v>
                </c:pt>
                <c:pt idx="269">
                  <c:v>1400</c:v>
                </c:pt>
                <c:pt idx="270">
                  <c:v>1200</c:v>
                </c:pt>
                <c:pt idx="271">
                  <c:v>900</c:v>
                </c:pt>
                <c:pt idx="272">
                  <c:v>1200</c:v>
                </c:pt>
                <c:pt idx="273">
                  <c:v>1500</c:v>
                </c:pt>
                <c:pt idx="274">
                  <c:v>1300</c:v>
                </c:pt>
                <c:pt idx="275">
                  <c:v>1300</c:v>
                </c:pt>
                <c:pt idx="276">
                  <c:v>1000</c:v>
                </c:pt>
                <c:pt idx="277">
                  <c:v>3000</c:v>
                </c:pt>
                <c:pt idx="278">
                  <c:v>1000</c:v>
                </c:pt>
                <c:pt idx="279">
                  <c:v>600</c:v>
                </c:pt>
                <c:pt idx="280">
                  <c:v>1500</c:v>
                </c:pt>
                <c:pt idx="281">
                  <c:v>1000</c:v>
                </c:pt>
                <c:pt idx="282">
                  <c:v>3000</c:v>
                </c:pt>
                <c:pt idx="283">
                  <c:v>1000</c:v>
                </c:pt>
                <c:pt idx="284">
                  <c:v>1200</c:v>
                </c:pt>
                <c:pt idx="285">
                  <c:v>1000</c:v>
                </c:pt>
                <c:pt idx="286">
                  <c:v>2000</c:v>
                </c:pt>
                <c:pt idx="287">
                  <c:v>900</c:v>
                </c:pt>
                <c:pt idx="288">
                  <c:v>1200</c:v>
                </c:pt>
                <c:pt idx="289">
                  <c:v>1000</c:v>
                </c:pt>
                <c:pt idx="290">
                  <c:v>800</c:v>
                </c:pt>
                <c:pt idx="291">
                  <c:v>1300</c:v>
                </c:pt>
                <c:pt idx="292">
                  <c:v>750</c:v>
                </c:pt>
                <c:pt idx="293">
                  <c:v>500</c:v>
                </c:pt>
                <c:pt idx="294">
                  <c:v>800</c:v>
                </c:pt>
                <c:pt idx="295">
                  <c:v>600</c:v>
                </c:pt>
                <c:pt idx="296">
                  <c:v>1000</c:v>
                </c:pt>
                <c:pt idx="297">
                  <c:v>600</c:v>
                </c:pt>
                <c:pt idx="298">
                  <c:v>900</c:v>
                </c:pt>
                <c:pt idx="299">
                  <c:v>600</c:v>
                </c:pt>
                <c:pt idx="300">
                  <c:v>1500</c:v>
                </c:pt>
                <c:pt idx="301">
                  <c:v>1300</c:v>
                </c:pt>
                <c:pt idx="302">
                  <c:v>1000</c:v>
                </c:pt>
                <c:pt idx="303">
                  <c:v>1500</c:v>
                </c:pt>
                <c:pt idx="304">
                  <c:v>1000</c:v>
                </c:pt>
                <c:pt idx="305">
                  <c:v>500</c:v>
                </c:pt>
                <c:pt idx="306">
                  <c:v>500</c:v>
                </c:pt>
                <c:pt idx="307">
                  <c:v>100000</c:v>
                </c:pt>
                <c:pt idx="308">
                  <c:v>1000</c:v>
                </c:pt>
                <c:pt idx="309">
                  <c:v>3000</c:v>
                </c:pt>
                <c:pt idx="310">
                  <c:v>1000</c:v>
                </c:pt>
                <c:pt idx="311">
                  <c:v>1300</c:v>
                </c:pt>
                <c:pt idx="312">
                  <c:v>950</c:v>
                </c:pt>
                <c:pt idx="313">
                  <c:v>1500</c:v>
                </c:pt>
                <c:pt idx="314">
                  <c:v>1000</c:v>
                </c:pt>
                <c:pt idx="315">
                  <c:v>1500</c:v>
                </c:pt>
                <c:pt idx="316">
                  <c:v>500</c:v>
                </c:pt>
                <c:pt idx="317">
                  <c:v>600</c:v>
                </c:pt>
                <c:pt idx="318">
                  <c:v>1800</c:v>
                </c:pt>
                <c:pt idx="319">
                  <c:v>2000</c:v>
                </c:pt>
                <c:pt idx="320">
                  <c:v>1600</c:v>
                </c:pt>
                <c:pt idx="321">
                  <c:v>2300</c:v>
                </c:pt>
                <c:pt idx="322">
                  <c:v>800</c:v>
                </c:pt>
                <c:pt idx="323">
                  <c:v>1600</c:v>
                </c:pt>
                <c:pt idx="324">
                  <c:v>850</c:v>
                </c:pt>
                <c:pt idx="325">
                  <c:v>1500</c:v>
                </c:pt>
                <c:pt idx="326">
                  <c:v>1500</c:v>
                </c:pt>
                <c:pt idx="327">
                  <c:v>1200</c:v>
                </c:pt>
                <c:pt idx="328">
                  <c:v>3000</c:v>
                </c:pt>
                <c:pt idx="329">
                  <c:v>1100</c:v>
                </c:pt>
                <c:pt idx="330">
                  <c:v>800</c:v>
                </c:pt>
                <c:pt idx="331">
                  <c:v>1350</c:v>
                </c:pt>
                <c:pt idx="332">
                  <c:v>2750</c:v>
                </c:pt>
                <c:pt idx="333">
                  <c:v>1300</c:v>
                </c:pt>
                <c:pt idx="334">
                  <c:v>750</c:v>
                </c:pt>
                <c:pt idx="335">
                  <c:v>1700</c:v>
                </c:pt>
                <c:pt idx="336">
                  <c:v>2000</c:v>
                </c:pt>
                <c:pt idx="337">
                  <c:v>3000</c:v>
                </c:pt>
                <c:pt idx="338">
                  <c:v>1500</c:v>
                </c:pt>
                <c:pt idx="339">
                  <c:v>650</c:v>
                </c:pt>
                <c:pt idx="340">
                  <c:v>1300</c:v>
                </c:pt>
                <c:pt idx="341">
                  <c:v>1500</c:v>
                </c:pt>
                <c:pt idx="342">
                  <c:v>1500</c:v>
                </c:pt>
                <c:pt idx="343">
                  <c:v>800</c:v>
                </c:pt>
                <c:pt idx="344">
                  <c:v>1000</c:v>
                </c:pt>
                <c:pt idx="345">
                  <c:v>1800</c:v>
                </c:pt>
                <c:pt idx="346">
                  <c:v>1000</c:v>
                </c:pt>
                <c:pt idx="347">
                  <c:v>1300</c:v>
                </c:pt>
                <c:pt idx="348">
                  <c:v>1500</c:v>
                </c:pt>
                <c:pt idx="349">
                  <c:v>900</c:v>
                </c:pt>
                <c:pt idx="350">
                  <c:v>1500</c:v>
                </c:pt>
                <c:pt idx="351">
                  <c:v>1200</c:v>
                </c:pt>
                <c:pt idx="352">
                  <c:v>4000</c:v>
                </c:pt>
                <c:pt idx="353">
                  <c:v>1250</c:v>
                </c:pt>
                <c:pt idx="354">
                  <c:v>2000</c:v>
                </c:pt>
                <c:pt idx="355">
                  <c:v>1300</c:v>
                </c:pt>
                <c:pt idx="356">
                  <c:v>1000</c:v>
                </c:pt>
                <c:pt idx="357">
                  <c:v>1500</c:v>
                </c:pt>
                <c:pt idx="358">
                  <c:v>800</c:v>
                </c:pt>
                <c:pt idx="359">
                  <c:v>1400</c:v>
                </c:pt>
                <c:pt idx="360">
                  <c:v>2000</c:v>
                </c:pt>
                <c:pt idx="361">
                  <c:v>1200</c:v>
                </c:pt>
                <c:pt idx="362">
                  <c:v>1200</c:v>
                </c:pt>
                <c:pt idx="363">
                  <c:v>1000</c:v>
                </c:pt>
                <c:pt idx="364">
                  <c:v>800</c:v>
                </c:pt>
                <c:pt idx="365">
                  <c:v>4000</c:v>
                </c:pt>
                <c:pt idx="366">
                  <c:v>1400</c:v>
                </c:pt>
                <c:pt idx="367">
                  <c:v>2000</c:v>
                </c:pt>
                <c:pt idx="368">
                  <c:v>1200</c:v>
                </c:pt>
                <c:pt idx="369">
                  <c:v>1200</c:v>
                </c:pt>
                <c:pt idx="370">
                  <c:v>1200</c:v>
                </c:pt>
                <c:pt idx="371">
                  <c:v>1500</c:v>
                </c:pt>
                <c:pt idx="372">
                  <c:v>1500</c:v>
                </c:pt>
                <c:pt idx="373">
                  <c:v>1500</c:v>
                </c:pt>
                <c:pt idx="374">
                  <c:v>1200</c:v>
                </c:pt>
                <c:pt idx="375">
                  <c:v>2000</c:v>
                </c:pt>
                <c:pt idx="376">
                  <c:v>1200</c:v>
                </c:pt>
                <c:pt idx="377">
                  <c:v>1000</c:v>
                </c:pt>
                <c:pt idx="378">
                  <c:v>1500</c:v>
                </c:pt>
                <c:pt idx="379">
                  <c:v>1400</c:v>
                </c:pt>
                <c:pt idx="380">
                  <c:v>900</c:v>
                </c:pt>
                <c:pt idx="381">
                  <c:v>900</c:v>
                </c:pt>
                <c:pt idx="382">
                  <c:v>1200</c:v>
                </c:pt>
                <c:pt idx="383">
                  <c:v>1200</c:v>
                </c:pt>
                <c:pt idx="384">
                  <c:v>2500</c:v>
                </c:pt>
                <c:pt idx="385">
                  <c:v>1000</c:v>
                </c:pt>
                <c:pt idx="386">
                  <c:v>1100</c:v>
                </c:pt>
                <c:pt idx="387">
                  <c:v>1100</c:v>
                </c:pt>
                <c:pt idx="388">
                  <c:v>1200</c:v>
                </c:pt>
                <c:pt idx="389">
                  <c:v>1200</c:v>
                </c:pt>
                <c:pt idx="390">
                  <c:v>1100</c:v>
                </c:pt>
                <c:pt idx="391">
                  <c:v>1200</c:v>
                </c:pt>
                <c:pt idx="392">
                  <c:v>2500</c:v>
                </c:pt>
                <c:pt idx="393">
                  <c:v>3000</c:v>
                </c:pt>
                <c:pt idx="394">
                  <c:v>1200</c:v>
                </c:pt>
                <c:pt idx="395">
                  <c:v>1000</c:v>
                </c:pt>
                <c:pt idx="396">
                  <c:v>1000</c:v>
                </c:pt>
                <c:pt idx="397">
                  <c:v>1200</c:v>
                </c:pt>
                <c:pt idx="398">
                  <c:v>1000</c:v>
                </c:pt>
                <c:pt idx="399">
                  <c:v>1200</c:v>
                </c:pt>
                <c:pt idx="400">
                  <c:v>1500</c:v>
                </c:pt>
                <c:pt idx="401">
                  <c:v>500</c:v>
                </c:pt>
                <c:pt idx="402">
                  <c:v>1100</c:v>
                </c:pt>
                <c:pt idx="403">
                  <c:v>900</c:v>
                </c:pt>
                <c:pt idx="404">
                  <c:v>5000</c:v>
                </c:pt>
                <c:pt idx="405">
                  <c:v>1000</c:v>
                </c:pt>
                <c:pt idx="406">
                  <c:v>2500</c:v>
                </c:pt>
                <c:pt idx="407">
                  <c:v>2500</c:v>
                </c:pt>
                <c:pt idx="408">
                  <c:v>1300</c:v>
                </c:pt>
                <c:pt idx="409">
                  <c:v>1300</c:v>
                </c:pt>
                <c:pt idx="410">
                  <c:v>1500</c:v>
                </c:pt>
                <c:pt idx="411">
                  <c:v>900</c:v>
                </c:pt>
                <c:pt idx="412">
                  <c:v>1400</c:v>
                </c:pt>
                <c:pt idx="413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B94-0845-A798-636D2DBCE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577407"/>
        <c:axId val="1660452159"/>
      </c:scatterChart>
      <c:valAx>
        <c:axId val="1660577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660452159"/>
        <c:crosses val="autoZero"/>
        <c:crossBetween val="midCat"/>
      </c:valAx>
      <c:valAx>
        <c:axId val="1660452159"/>
        <c:scaling>
          <c:orientation val="minMax"/>
          <c:max val="7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Monthly</a:t>
                </a:r>
                <a:r>
                  <a:rPr lang="en-US" baseline="0"/>
                  <a:t> Exp</a:t>
                </a:r>
                <a:r>
                  <a:rPr lang="en-US"/>
                  <a:t>ense</a:t>
                </a:r>
                <a:r>
                  <a:rPr lang="en-US" baseline="0"/>
                  <a:t>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660577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Maximum rent payment - default options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Maximum rent payment - default options</a:t>
          </a:r>
        </a:p>
      </cx:txPr>
    </cx:title>
    <cx:plotArea>
      <cx:plotAreaRegion>
        <cx:series layoutId="clusteredColumn" uniqueId="{BE94E27D-402D-344B-8C19-7404B7F2EF33}">
          <cx:tx>
            <cx:txData>
              <cx:f>_xlchart.v1.8</cx:f>
              <cx:v>Maximum rent price you would pay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Rent Payment Intervals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Rent Payment Intervals</a:t>
              </a:r>
            </a:p>
          </cx:txPr>
        </cx:title>
        <cx:majorGridlines/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</cx:chartData>
  <cx:chart>
    <cx:title pos="t" align="ctr" overlay="0">
      <cx:tx>
        <cx:txData>
          <cx:v>Maximum rent payment - modified bin width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Maximum rent payment - modified bin width</a:t>
          </a:r>
        </a:p>
      </cx:txPr>
    </cx:title>
    <cx:plotArea>
      <cx:plotAreaRegion>
        <cx:series layoutId="clusteredColumn" uniqueId="{BE94E27D-402D-344B-8C19-7404B7F2EF33}" formatIdx="0">
          <cx:tx>
            <cx:txData>
              <cx:f>_xlchart.v1.13</cx:f>
              <cx:v>Maximum rent price you would pay</cx:v>
            </cx:txData>
          </cx:tx>
          <cx:dataPt idx="0"/>
          <cx:dataLabels pos="inEnd">
            <cx:visibility seriesName="0" categoryName="0" value="1"/>
          </cx:dataLabels>
          <cx:dataId val="0"/>
          <cx:layoutPr>
            <cx:binning intervalClosed="r">
              <cx:binCount val="14"/>
            </cx:binning>
          </cx:layoutPr>
        </cx:series>
      </cx:plotAreaRegion>
      <cx:axis id="0">
        <cx:catScaling gapWidth="0"/>
        <cx:title>
          <cx:tx>
            <cx:txData>
              <cx:v>Rent Payment Intervals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Rent Payment Intervals</a:t>
              </a:r>
            </a:p>
          </cx:txPr>
        </cx:title>
        <cx:majorGridlines/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_xlchart.v1.16</cx:f>
      </cx:numDim>
    </cx:data>
  </cx:chartData>
  <cx:chart>
    <cx:title pos="t" align="ctr" overlay="0">
      <cx:tx>
        <cx:txData>
          <cx:v>Maximum rent payment - manual bin width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Maximum rent payment - manual bin width</a:t>
          </a:r>
        </a:p>
      </cx:txPr>
    </cx:title>
    <cx:plotArea>
      <cx:plotAreaRegion>
        <cx:series layoutId="clusteredColumn" uniqueId="{BE94E27D-402D-344B-8C19-7404B7F2EF33}">
          <cx:tx>
            <cx:txData>
              <cx:f>_xlchart.v1.15</cx:f>
              <cx:v>Maximum rent price you would pay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 underflow="900" overflow="1100">
              <cx:binCount val="14"/>
            </cx:binning>
          </cx:layoutPr>
        </cx:series>
      </cx:plotAreaRegion>
      <cx:axis id="0">
        <cx:catScaling gapWidth="0"/>
        <cx:title>
          <cx:tx>
            <cx:txData>
              <cx:v>Rent Payment Intervals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Rent Payment Intervals</a:t>
              </a:r>
            </a:p>
          </cx:txPr>
        </cx:title>
        <cx:majorGridlines/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1</xdr:row>
      <xdr:rowOff>25400</xdr:rowOff>
    </xdr:from>
    <xdr:to>
      <xdr:col>13</xdr:col>
      <xdr:colOff>342900</xdr:colOff>
      <xdr:row>43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04FE3F-3A7C-9D12-05C5-84BA517C9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336550</xdr:colOff>
      <xdr:row>1</xdr:row>
      <xdr:rowOff>19050</xdr:rowOff>
    </xdr:from>
    <xdr:to>
      <xdr:col>20</xdr:col>
      <xdr:colOff>457200</xdr:colOff>
      <xdr:row>43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DCD94A-FCBB-97CC-A1A5-8083C776A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764615</xdr:colOff>
      <xdr:row>13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3C9474A-D5F4-AB61-25DE-491DD95E3B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8160497" cy="2737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14</xdr:row>
      <xdr:rowOff>35005</xdr:rowOff>
    </xdr:from>
    <xdr:to>
      <xdr:col>9</xdr:col>
      <xdr:colOff>764615</xdr:colOff>
      <xdr:row>27</xdr:row>
      <xdr:rowOff>136605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5958186-8ED7-A940-B702-6B1447AB78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873829"/>
              <a:ext cx="8160497" cy="2737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29</xdr:row>
      <xdr:rowOff>163072</xdr:rowOff>
    </xdr:from>
    <xdr:to>
      <xdr:col>9</xdr:col>
      <xdr:colOff>764615</xdr:colOff>
      <xdr:row>45</xdr:row>
      <xdr:rowOff>203199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8D200A2-2EB4-EC40-A4EC-4ADAD238EE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055872"/>
              <a:ext cx="8171255" cy="32913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74E9-CE80-BE44-A22A-15B60E04ABD8}">
  <dimension ref="A1"/>
  <sheetViews>
    <sheetView workbookViewId="0">
      <selection activeCell="D24" sqref="D24"/>
    </sheetView>
  </sheetViews>
  <sheetFormatPr baseColWidth="10" defaultRowHeight="16" x14ac:dyDescent="0.2"/>
  <sheetData>
    <row r="1" spans="1:1" x14ac:dyDescent="0.2">
      <c r="A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89B4-7BF5-B649-B01D-7CF6557A0B86}">
  <dimension ref="A1:C415"/>
  <sheetViews>
    <sheetView workbookViewId="0"/>
  </sheetViews>
  <sheetFormatPr baseColWidth="10" defaultRowHeight="16" x14ac:dyDescent="0.2"/>
  <sheetData>
    <row r="1" spans="1:3" x14ac:dyDescent="0.2">
      <c r="A1" s="2" t="s">
        <v>15</v>
      </c>
      <c r="B1" s="2" t="s">
        <v>1</v>
      </c>
      <c r="C1" s="2" t="s">
        <v>2</v>
      </c>
    </row>
    <row r="2" spans="1:3" x14ac:dyDescent="0.2">
      <c r="A2" s="3">
        <v>3000</v>
      </c>
      <c r="B2" s="2">
        <v>400</v>
      </c>
      <c r="C2" s="2">
        <v>150</v>
      </c>
    </row>
    <row r="3" spans="1:3" x14ac:dyDescent="0.2">
      <c r="A3" s="2">
        <v>1800</v>
      </c>
      <c r="B3" s="2">
        <v>40</v>
      </c>
      <c r="C3" s="2">
        <v>30</v>
      </c>
    </row>
    <row r="4" spans="1:3" x14ac:dyDescent="0.2">
      <c r="A4" s="2">
        <v>1200</v>
      </c>
      <c r="B4" s="2">
        <v>100</v>
      </c>
      <c r="C4" s="2">
        <v>30</v>
      </c>
    </row>
    <row r="5" spans="1:3" x14ac:dyDescent="0.2">
      <c r="A5" s="2">
        <v>1200</v>
      </c>
      <c r="B5" s="2">
        <v>100</v>
      </c>
      <c r="C5" s="2">
        <v>30</v>
      </c>
    </row>
    <row r="6" spans="1:3" x14ac:dyDescent="0.2">
      <c r="A6" s="2">
        <v>800</v>
      </c>
      <c r="B6" s="2">
        <v>200</v>
      </c>
      <c r="C6" s="2">
        <v>100</v>
      </c>
    </row>
    <row r="7" spans="1:3" x14ac:dyDescent="0.2">
      <c r="A7" s="4">
        <v>1450</v>
      </c>
      <c r="B7" s="2">
        <v>200</v>
      </c>
      <c r="C7" s="2">
        <v>100</v>
      </c>
    </row>
    <row r="8" spans="1:3" x14ac:dyDescent="0.2">
      <c r="A8" s="2">
        <v>1000</v>
      </c>
      <c r="B8" s="2">
        <v>500</v>
      </c>
      <c r="C8" s="2">
        <v>300</v>
      </c>
    </row>
    <row r="9" spans="1:3" x14ac:dyDescent="0.2">
      <c r="A9" s="2">
        <v>800</v>
      </c>
      <c r="B9" s="2">
        <v>25</v>
      </c>
      <c r="C9" s="2">
        <v>10</v>
      </c>
    </row>
    <row r="10" spans="1:3" x14ac:dyDescent="0.2">
      <c r="A10" s="2">
        <v>1200</v>
      </c>
      <c r="B10" s="2">
        <v>350</v>
      </c>
      <c r="C10" s="2">
        <v>10</v>
      </c>
    </row>
    <row r="11" spans="1:3" x14ac:dyDescent="0.2">
      <c r="A11" s="2">
        <v>1200</v>
      </c>
      <c r="B11" s="2">
        <v>20</v>
      </c>
      <c r="C11" s="2">
        <v>100</v>
      </c>
    </row>
    <row r="12" spans="1:3" x14ac:dyDescent="0.2">
      <c r="A12" s="2">
        <v>1000</v>
      </c>
      <c r="B12" s="2">
        <v>200</v>
      </c>
      <c r="C12" s="2">
        <v>25</v>
      </c>
    </row>
    <row r="13" spans="1:3" x14ac:dyDescent="0.2">
      <c r="A13" s="2">
        <v>475</v>
      </c>
      <c r="B13" s="2">
        <v>60</v>
      </c>
      <c r="C13" s="2">
        <v>50</v>
      </c>
    </row>
    <row r="14" spans="1:3" x14ac:dyDescent="0.2">
      <c r="A14" s="2">
        <v>900</v>
      </c>
      <c r="B14" s="2">
        <v>100</v>
      </c>
      <c r="C14" s="2">
        <v>100</v>
      </c>
    </row>
    <row r="15" spans="1:3" x14ac:dyDescent="0.2">
      <c r="A15" s="2">
        <v>900</v>
      </c>
      <c r="B15" s="2">
        <v>200</v>
      </c>
      <c r="C15" s="2">
        <v>30</v>
      </c>
    </row>
    <row r="16" spans="1:3" x14ac:dyDescent="0.2">
      <c r="A16" s="2">
        <v>1000</v>
      </c>
      <c r="B16" s="2">
        <v>30</v>
      </c>
      <c r="C16" s="2">
        <v>100</v>
      </c>
    </row>
    <row r="17" spans="1:3" x14ac:dyDescent="0.2">
      <c r="A17" s="2">
        <v>850</v>
      </c>
      <c r="B17" s="2">
        <v>200</v>
      </c>
      <c r="C17" s="2">
        <v>30</v>
      </c>
    </row>
    <row r="18" spans="1:3" x14ac:dyDescent="0.2">
      <c r="A18" s="2">
        <v>1500</v>
      </c>
      <c r="B18" s="2">
        <v>200</v>
      </c>
      <c r="C18" s="2">
        <v>10</v>
      </c>
    </row>
    <row r="19" spans="1:3" x14ac:dyDescent="0.2">
      <c r="A19" s="2">
        <v>1200</v>
      </c>
      <c r="B19" s="2">
        <v>10</v>
      </c>
      <c r="C19" s="2">
        <v>200</v>
      </c>
    </row>
    <row r="20" spans="1:3" x14ac:dyDescent="0.2">
      <c r="A20" s="2">
        <v>1000</v>
      </c>
      <c r="B20" s="2">
        <v>500</v>
      </c>
      <c r="C20" s="2">
        <v>15</v>
      </c>
    </row>
    <row r="21" spans="1:3" x14ac:dyDescent="0.2">
      <c r="A21" s="2">
        <v>1200</v>
      </c>
      <c r="B21" s="2">
        <v>100</v>
      </c>
      <c r="C21" s="2">
        <v>50</v>
      </c>
    </row>
    <row r="22" spans="1:3" x14ac:dyDescent="0.2">
      <c r="A22" s="2">
        <v>1200</v>
      </c>
      <c r="B22" s="2">
        <v>700</v>
      </c>
      <c r="C22" s="2">
        <v>50</v>
      </c>
    </row>
    <row r="23" spans="1:3" x14ac:dyDescent="0.2">
      <c r="A23" s="2">
        <v>1200</v>
      </c>
      <c r="B23" s="2">
        <v>700</v>
      </c>
      <c r="C23" s="2">
        <v>50</v>
      </c>
    </row>
    <row r="24" spans="1:3" x14ac:dyDescent="0.2">
      <c r="A24" s="2">
        <v>2500</v>
      </c>
      <c r="B24" s="2">
        <v>120</v>
      </c>
      <c r="C24" s="2">
        <v>20</v>
      </c>
    </row>
    <row r="25" spans="1:3" x14ac:dyDescent="0.2">
      <c r="A25" s="2">
        <v>1400</v>
      </c>
      <c r="B25" s="2">
        <v>20</v>
      </c>
      <c r="C25" s="2">
        <v>100</v>
      </c>
    </row>
    <row r="26" spans="1:3" x14ac:dyDescent="0.2">
      <c r="A26" s="2">
        <v>3500</v>
      </c>
      <c r="B26" s="2">
        <v>50</v>
      </c>
      <c r="C26" s="2">
        <v>100</v>
      </c>
    </row>
    <row r="27" spans="1:3" x14ac:dyDescent="0.2">
      <c r="A27" s="2">
        <v>1000</v>
      </c>
      <c r="B27" s="2">
        <v>100</v>
      </c>
      <c r="C27" s="2">
        <v>15</v>
      </c>
    </row>
    <row r="28" spans="1:3" x14ac:dyDescent="0.2">
      <c r="A28" s="2">
        <v>1300</v>
      </c>
      <c r="B28" s="2">
        <v>15</v>
      </c>
      <c r="C28" s="2">
        <v>15</v>
      </c>
    </row>
    <row r="29" spans="1:3" x14ac:dyDescent="0.2">
      <c r="A29" s="2">
        <v>200</v>
      </c>
      <c r="B29" s="2">
        <v>20</v>
      </c>
      <c r="C29" s="2">
        <v>30</v>
      </c>
    </row>
    <row r="30" spans="1:3" x14ac:dyDescent="0.2">
      <c r="A30" s="2">
        <v>1700</v>
      </c>
      <c r="B30" s="2">
        <v>250</v>
      </c>
      <c r="C30" s="2">
        <v>30</v>
      </c>
    </row>
    <row r="31" spans="1:3" x14ac:dyDescent="0.2">
      <c r="A31" s="2">
        <v>1700</v>
      </c>
      <c r="B31" s="2">
        <v>250</v>
      </c>
      <c r="C31" s="2">
        <v>15</v>
      </c>
    </row>
    <row r="32" spans="1:3" x14ac:dyDescent="0.2">
      <c r="A32" s="2">
        <v>1200</v>
      </c>
      <c r="B32" s="2">
        <v>10</v>
      </c>
      <c r="C32" s="2">
        <v>20</v>
      </c>
    </row>
    <row r="33" spans="1:3" x14ac:dyDescent="0.2">
      <c r="A33" s="2">
        <v>900</v>
      </c>
      <c r="B33" s="2">
        <v>50</v>
      </c>
      <c r="C33" s="2">
        <v>5</v>
      </c>
    </row>
    <row r="34" spans="1:3" x14ac:dyDescent="0.2">
      <c r="A34" s="2">
        <v>2000</v>
      </c>
      <c r="B34" s="2">
        <v>20</v>
      </c>
      <c r="C34" s="2">
        <v>40</v>
      </c>
    </row>
    <row r="35" spans="1:3" x14ac:dyDescent="0.2">
      <c r="A35" s="2">
        <v>1500</v>
      </c>
      <c r="B35" s="2">
        <v>30</v>
      </c>
      <c r="C35" s="2">
        <v>100</v>
      </c>
    </row>
    <row r="36" spans="1:3" x14ac:dyDescent="0.2">
      <c r="A36" s="2">
        <v>1200</v>
      </c>
      <c r="B36" s="2">
        <v>250</v>
      </c>
      <c r="C36" s="2">
        <v>50</v>
      </c>
    </row>
    <row r="37" spans="1:3" x14ac:dyDescent="0.2">
      <c r="A37" s="2">
        <v>900</v>
      </c>
      <c r="B37" s="2">
        <v>300</v>
      </c>
      <c r="C37" s="2">
        <v>20</v>
      </c>
    </row>
    <row r="38" spans="1:3" x14ac:dyDescent="0.2">
      <c r="A38" s="2">
        <v>1000</v>
      </c>
      <c r="B38" s="2">
        <v>400</v>
      </c>
      <c r="C38" s="2">
        <v>30</v>
      </c>
    </row>
    <row r="39" spans="1:3" x14ac:dyDescent="0.2">
      <c r="A39" s="2">
        <v>2000</v>
      </c>
      <c r="B39" s="2">
        <v>25</v>
      </c>
      <c r="C39" s="2">
        <v>50</v>
      </c>
    </row>
    <row r="40" spans="1:3" x14ac:dyDescent="0.2">
      <c r="A40" s="2">
        <v>1500</v>
      </c>
      <c r="B40" s="2">
        <v>300</v>
      </c>
      <c r="C40" s="2">
        <v>1000</v>
      </c>
    </row>
    <row r="41" spans="1:3" x14ac:dyDescent="0.2">
      <c r="A41" s="2">
        <v>1100</v>
      </c>
      <c r="B41" s="2">
        <v>25</v>
      </c>
      <c r="C41" s="2">
        <v>70</v>
      </c>
    </row>
    <row r="42" spans="1:3" x14ac:dyDescent="0.2">
      <c r="A42" s="2">
        <v>770</v>
      </c>
      <c r="B42" s="2">
        <v>120</v>
      </c>
      <c r="C42" s="2">
        <v>50</v>
      </c>
    </row>
    <row r="43" spans="1:3" x14ac:dyDescent="0.2">
      <c r="A43" s="2">
        <v>800</v>
      </c>
      <c r="B43" s="2">
        <v>150</v>
      </c>
      <c r="C43" s="2">
        <v>50</v>
      </c>
    </row>
    <row r="44" spans="1:3" x14ac:dyDescent="0.2">
      <c r="A44" s="2">
        <v>1300</v>
      </c>
      <c r="B44" s="2">
        <v>40</v>
      </c>
      <c r="C44" s="2">
        <v>25</v>
      </c>
    </row>
    <row r="45" spans="1:3" x14ac:dyDescent="0.2">
      <c r="A45" s="2">
        <v>1500</v>
      </c>
      <c r="B45" s="2">
        <v>10</v>
      </c>
      <c r="C45" s="2">
        <v>15</v>
      </c>
    </row>
    <row r="46" spans="1:3" x14ac:dyDescent="0.2">
      <c r="A46" s="2">
        <v>1200</v>
      </c>
      <c r="B46" s="2">
        <v>20</v>
      </c>
      <c r="C46" s="2">
        <v>200</v>
      </c>
    </row>
    <row r="47" spans="1:3" x14ac:dyDescent="0.2">
      <c r="A47" s="2">
        <v>1400</v>
      </c>
      <c r="B47" s="2">
        <v>100</v>
      </c>
      <c r="C47" s="2">
        <v>25</v>
      </c>
    </row>
    <row r="48" spans="1:3" x14ac:dyDescent="0.2">
      <c r="A48" s="2">
        <v>1400</v>
      </c>
      <c r="B48" s="2">
        <v>70</v>
      </c>
      <c r="C48" s="2">
        <v>50</v>
      </c>
    </row>
    <row r="49" spans="1:3" x14ac:dyDescent="0.2">
      <c r="A49" s="2">
        <v>1200</v>
      </c>
      <c r="B49" s="2">
        <v>200</v>
      </c>
      <c r="C49" s="2">
        <v>100</v>
      </c>
    </row>
    <row r="50" spans="1:3" x14ac:dyDescent="0.2">
      <c r="A50" s="2">
        <v>1500</v>
      </c>
      <c r="B50" s="2">
        <v>500</v>
      </c>
      <c r="C50" s="2">
        <v>50</v>
      </c>
    </row>
    <row r="51" spans="1:3" x14ac:dyDescent="0.2">
      <c r="A51" s="2">
        <v>100</v>
      </c>
      <c r="B51" s="2">
        <v>40</v>
      </c>
      <c r="C51" s="2">
        <v>15</v>
      </c>
    </row>
    <row r="52" spans="1:3" x14ac:dyDescent="0.2">
      <c r="A52" s="2">
        <v>600</v>
      </c>
      <c r="B52" s="2">
        <v>20</v>
      </c>
      <c r="C52" s="2">
        <v>20</v>
      </c>
    </row>
    <row r="53" spans="1:3" x14ac:dyDescent="0.2">
      <c r="A53" s="2">
        <v>1400</v>
      </c>
      <c r="B53" s="2">
        <v>100</v>
      </c>
      <c r="C53" s="2">
        <v>20</v>
      </c>
    </row>
    <row r="54" spans="1:3" x14ac:dyDescent="0.2">
      <c r="A54" s="2">
        <v>1300</v>
      </c>
      <c r="B54" s="2">
        <v>400</v>
      </c>
      <c r="C54" s="2">
        <v>100</v>
      </c>
    </row>
    <row r="55" spans="1:3" x14ac:dyDescent="0.2">
      <c r="A55" s="2">
        <v>900</v>
      </c>
      <c r="B55" s="2">
        <v>300</v>
      </c>
      <c r="C55" s="2">
        <v>100</v>
      </c>
    </row>
    <row r="56" spans="1:3" x14ac:dyDescent="0.2">
      <c r="A56" s="2">
        <v>1500</v>
      </c>
      <c r="B56" s="2">
        <v>300</v>
      </c>
      <c r="C56" s="2">
        <v>50</v>
      </c>
    </row>
    <row r="57" spans="1:3" x14ac:dyDescent="0.2">
      <c r="A57" s="2">
        <v>1500</v>
      </c>
      <c r="B57" s="2">
        <v>50</v>
      </c>
      <c r="C57" s="2">
        <v>100</v>
      </c>
    </row>
    <row r="58" spans="1:3" x14ac:dyDescent="0.2">
      <c r="A58" s="2">
        <v>800</v>
      </c>
      <c r="B58" s="2">
        <v>400</v>
      </c>
      <c r="C58" s="2">
        <v>100</v>
      </c>
    </row>
    <row r="59" spans="1:3" x14ac:dyDescent="0.2">
      <c r="A59" s="2">
        <v>600</v>
      </c>
      <c r="B59" s="2">
        <v>400</v>
      </c>
      <c r="C59" s="2">
        <v>200</v>
      </c>
    </row>
    <row r="60" spans="1:3" x14ac:dyDescent="0.2">
      <c r="A60" s="2">
        <v>1200</v>
      </c>
      <c r="B60" s="2">
        <v>1500</v>
      </c>
      <c r="C60" s="2">
        <v>20</v>
      </c>
    </row>
    <row r="61" spans="1:3" x14ac:dyDescent="0.2">
      <c r="A61" s="2">
        <v>2000</v>
      </c>
      <c r="B61" s="2">
        <v>400</v>
      </c>
      <c r="C61" s="2">
        <v>25</v>
      </c>
    </row>
    <row r="62" spans="1:3" x14ac:dyDescent="0.2">
      <c r="A62" s="2">
        <v>1500</v>
      </c>
      <c r="B62" s="2">
        <v>150</v>
      </c>
      <c r="C62" s="2">
        <v>30</v>
      </c>
    </row>
    <row r="63" spans="1:3" x14ac:dyDescent="0.2">
      <c r="A63" s="4">
        <v>1000</v>
      </c>
      <c r="B63" s="2">
        <v>30</v>
      </c>
      <c r="C63" s="2">
        <v>25</v>
      </c>
    </row>
    <row r="64" spans="1:3" x14ac:dyDescent="0.2">
      <c r="A64" s="2">
        <v>1000</v>
      </c>
      <c r="B64" s="2">
        <v>500</v>
      </c>
      <c r="C64" s="2">
        <v>50</v>
      </c>
    </row>
    <row r="65" spans="1:3" x14ac:dyDescent="0.2">
      <c r="A65" s="2">
        <v>1000</v>
      </c>
      <c r="B65" s="2">
        <v>10</v>
      </c>
      <c r="C65" s="2">
        <v>300</v>
      </c>
    </row>
    <row r="66" spans="1:3" x14ac:dyDescent="0.2">
      <c r="A66" s="2">
        <v>2500</v>
      </c>
      <c r="B66" s="2">
        <v>300</v>
      </c>
      <c r="C66" s="2">
        <v>20</v>
      </c>
    </row>
    <row r="67" spans="1:3" x14ac:dyDescent="0.2">
      <c r="A67" s="2">
        <v>1300</v>
      </c>
      <c r="B67" s="2">
        <v>400</v>
      </c>
      <c r="C67" s="2">
        <v>20</v>
      </c>
    </row>
    <row r="68" spans="1:3" x14ac:dyDescent="0.2">
      <c r="A68" s="2">
        <v>1500</v>
      </c>
      <c r="B68" s="2">
        <v>20</v>
      </c>
      <c r="C68" s="2">
        <v>20</v>
      </c>
    </row>
    <row r="69" spans="1:3" x14ac:dyDescent="0.2">
      <c r="A69" s="2">
        <v>600</v>
      </c>
      <c r="B69" s="2">
        <v>15</v>
      </c>
      <c r="C69" s="2">
        <v>300</v>
      </c>
    </row>
    <row r="70" spans="1:3" x14ac:dyDescent="0.2">
      <c r="A70" s="2">
        <v>650</v>
      </c>
      <c r="B70" s="2">
        <v>150</v>
      </c>
      <c r="C70" s="2">
        <v>15</v>
      </c>
    </row>
    <row r="71" spans="1:3" x14ac:dyDescent="0.2">
      <c r="A71" s="4">
        <v>1800</v>
      </c>
      <c r="B71" s="2">
        <v>20</v>
      </c>
      <c r="C71" s="2">
        <v>15</v>
      </c>
    </row>
    <row r="72" spans="1:3" x14ac:dyDescent="0.2">
      <c r="A72" s="2">
        <v>1000</v>
      </c>
      <c r="B72" s="2">
        <v>12</v>
      </c>
      <c r="C72" s="2">
        <v>20</v>
      </c>
    </row>
    <row r="73" spans="1:3" x14ac:dyDescent="0.2">
      <c r="A73" s="2">
        <v>1000</v>
      </c>
      <c r="B73" s="2">
        <v>200</v>
      </c>
      <c r="C73" s="2">
        <v>200</v>
      </c>
    </row>
    <row r="74" spans="1:3" x14ac:dyDescent="0.2">
      <c r="A74" s="2">
        <v>1000</v>
      </c>
      <c r="B74" s="2">
        <v>100</v>
      </c>
      <c r="C74" s="2">
        <v>50</v>
      </c>
    </row>
    <row r="75" spans="1:3" x14ac:dyDescent="0.2">
      <c r="A75" s="2">
        <v>1500</v>
      </c>
      <c r="B75" s="2">
        <v>50</v>
      </c>
      <c r="C75" s="2">
        <v>50</v>
      </c>
    </row>
    <row r="76" spans="1:3" x14ac:dyDescent="0.2">
      <c r="A76" s="2">
        <v>900</v>
      </c>
      <c r="B76" s="2">
        <v>15</v>
      </c>
      <c r="C76" s="2">
        <v>20</v>
      </c>
    </row>
    <row r="77" spans="1:3" x14ac:dyDescent="0.2">
      <c r="A77" s="2">
        <v>1500</v>
      </c>
      <c r="B77" s="2">
        <v>30</v>
      </c>
      <c r="C77" s="2">
        <v>50</v>
      </c>
    </row>
    <row r="78" spans="1:3" x14ac:dyDescent="0.2">
      <c r="A78" s="2">
        <v>1500</v>
      </c>
      <c r="B78" s="2">
        <v>20</v>
      </c>
      <c r="C78" s="2">
        <v>100</v>
      </c>
    </row>
    <row r="79" spans="1:3" x14ac:dyDescent="0.2">
      <c r="A79" s="2">
        <v>1500</v>
      </c>
      <c r="B79" s="2">
        <v>200</v>
      </c>
      <c r="C79" s="2">
        <v>50</v>
      </c>
    </row>
    <row r="80" spans="1:3" x14ac:dyDescent="0.2">
      <c r="A80" s="4">
        <v>1900</v>
      </c>
      <c r="B80" s="2">
        <v>200</v>
      </c>
      <c r="C80" s="2">
        <v>250</v>
      </c>
    </row>
    <row r="81" spans="1:3" x14ac:dyDescent="0.2">
      <c r="A81" s="2">
        <v>1100</v>
      </c>
      <c r="B81" s="2">
        <v>15</v>
      </c>
      <c r="C81" s="2">
        <v>50</v>
      </c>
    </row>
    <row r="82" spans="1:3" x14ac:dyDescent="0.2">
      <c r="A82" s="2">
        <v>1000</v>
      </c>
      <c r="B82" s="2">
        <v>20</v>
      </c>
      <c r="C82" s="2">
        <v>25</v>
      </c>
    </row>
    <row r="83" spans="1:3" x14ac:dyDescent="0.2">
      <c r="A83" s="2">
        <v>1500</v>
      </c>
      <c r="B83" s="2">
        <v>8</v>
      </c>
      <c r="C83" s="2">
        <v>15</v>
      </c>
    </row>
    <row r="84" spans="1:3" x14ac:dyDescent="0.2">
      <c r="A84" s="2">
        <v>850</v>
      </c>
      <c r="B84" s="2">
        <v>20</v>
      </c>
      <c r="C84" s="2">
        <v>30</v>
      </c>
    </row>
    <row r="85" spans="1:3" x14ac:dyDescent="0.2">
      <c r="A85" s="2">
        <v>1900</v>
      </c>
      <c r="B85" s="2">
        <v>20</v>
      </c>
      <c r="C85" s="2">
        <v>15</v>
      </c>
    </row>
    <row r="86" spans="1:3" x14ac:dyDescent="0.2">
      <c r="A86" s="2">
        <v>1300</v>
      </c>
      <c r="B86" s="2">
        <v>15</v>
      </c>
      <c r="C86" s="2">
        <v>100</v>
      </c>
    </row>
    <row r="87" spans="1:3" x14ac:dyDescent="0.2">
      <c r="A87" s="2">
        <v>1500</v>
      </c>
      <c r="B87" s="2">
        <v>100</v>
      </c>
      <c r="C87" s="2">
        <v>100</v>
      </c>
    </row>
    <row r="88" spans="1:3" x14ac:dyDescent="0.2">
      <c r="A88" s="2">
        <v>1200</v>
      </c>
      <c r="B88" s="2">
        <v>100</v>
      </c>
      <c r="C88" s="2">
        <v>50</v>
      </c>
    </row>
    <row r="89" spans="1:3" x14ac:dyDescent="0.2">
      <c r="A89" s="2">
        <v>900</v>
      </c>
      <c r="B89" s="2">
        <v>300</v>
      </c>
      <c r="C89" s="2">
        <v>25</v>
      </c>
    </row>
    <row r="90" spans="1:3" x14ac:dyDescent="0.2">
      <c r="A90" s="2">
        <v>1000</v>
      </c>
      <c r="B90" s="2">
        <v>50</v>
      </c>
      <c r="C90" s="2">
        <v>250</v>
      </c>
    </row>
    <row r="91" spans="1:3" x14ac:dyDescent="0.2">
      <c r="A91" s="2">
        <v>2000</v>
      </c>
      <c r="B91" s="2">
        <v>600</v>
      </c>
      <c r="C91" s="2">
        <v>100</v>
      </c>
    </row>
    <row r="92" spans="1:3" x14ac:dyDescent="0.2">
      <c r="A92" s="2">
        <v>2000</v>
      </c>
      <c r="B92" s="2">
        <v>120</v>
      </c>
      <c r="C92" s="2">
        <v>100</v>
      </c>
    </row>
    <row r="93" spans="1:3" x14ac:dyDescent="0.2">
      <c r="A93" s="2">
        <v>1600</v>
      </c>
      <c r="B93" s="2">
        <v>50</v>
      </c>
      <c r="C93" s="2">
        <v>50</v>
      </c>
    </row>
    <row r="94" spans="1:3" x14ac:dyDescent="0.2">
      <c r="A94" s="2">
        <v>1200</v>
      </c>
      <c r="B94" s="2">
        <v>600</v>
      </c>
      <c r="C94" s="2">
        <v>700</v>
      </c>
    </row>
    <row r="95" spans="1:3" x14ac:dyDescent="0.2">
      <c r="A95" s="2">
        <v>750</v>
      </c>
      <c r="B95" s="2">
        <v>520</v>
      </c>
      <c r="C95" s="2">
        <v>100</v>
      </c>
    </row>
    <row r="96" spans="1:3" x14ac:dyDescent="0.2">
      <c r="A96" s="2">
        <v>1750</v>
      </c>
      <c r="B96" s="2">
        <v>150</v>
      </c>
      <c r="C96" s="2">
        <v>1250</v>
      </c>
    </row>
    <row r="97" spans="1:3" x14ac:dyDescent="0.2">
      <c r="A97" s="2">
        <v>1200</v>
      </c>
      <c r="B97" s="2">
        <v>30</v>
      </c>
      <c r="C97" s="2">
        <v>100</v>
      </c>
    </row>
    <row r="98" spans="1:3" x14ac:dyDescent="0.2">
      <c r="A98" s="2">
        <v>1000</v>
      </c>
      <c r="B98" s="2">
        <v>300</v>
      </c>
      <c r="C98" s="2">
        <v>10</v>
      </c>
    </row>
    <row r="99" spans="1:3" x14ac:dyDescent="0.2">
      <c r="A99" s="2">
        <v>2000</v>
      </c>
      <c r="B99" s="2">
        <v>10</v>
      </c>
      <c r="C99" s="2">
        <v>150</v>
      </c>
    </row>
    <row r="100" spans="1:3" x14ac:dyDescent="0.2">
      <c r="A100" s="2">
        <v>1500</v>
      </c>
      <c r="B100" s="2">
        <v>10</v>
      </c>
      <c r="C100" s="2">
        <v>100</v>
      </c>
    </row>
    <row r="101" spans="1:3" x14ac:dyDescent="0.2">
      <c r="A101" s="2">
        <v>1500</v>
      </c>
      <c r="B101" s="2">
        <v>100</v>
      </c>
      <c r="C101" s="2">
        <v>100</v>
      </c>
    </row>
    <row r="102" spans="1:3" x14ac:dyDescent="0.2">
      <c r="A102" s="2">
        <v>1500</v>
      </c>
      <c r="B102" s="2">
        <v>100</v>
      </c>
      <c r="C102" s="2">
        <v>100</v>
      </c>
    </row>
    <row r="103" spans="1:3" x14ac:dyDescent="0.2">
      <c r="A103" s="2">
        <v>1100</v>
      </c>
      <c r="B103" s="2">
        <v>300</v>
      </c>
      <c r="C103" s="2">
        <v>100</v>
      </c>
    </row>
    <row r="104" spans="1:3" x14ac:dyDescent="0.2">
      <c r="A104" s="2">
        <v>800</v>
      </c>
      <c r="B104" s="2">
        <v>200</v>
      </c>
      <c r="C104" s="2">
        <v>20</v>
      </c>
    </row>
    <row r="105" spans="1:3" x14ac:dyDescent="0.2">
      <c r="A105" s="2">
        <v>1400</v>
      </c>
      <c r="B105" s="2">
        <v>25</v>
      </c>
      <c r="C105" s="2">
        <v>100</v>
      </c>
    </row>
    <row r="106" spans="1:3" x14ac:dyDescent="0.2">
      <c r="A106" s="2">
        <v>900</v>
      </c>
      <c r="B106" s="2">
        <v>400</v>
      </c>
      <c r="C106" s="2">
        <v>25</v>
      </c>
    </row>
    <row r="107" spans="1:3" x14ac:dyDescent="0.2">
      <c r="A107" s="2">
        <v>850</v>
      </c>
      <c r="B107" s="2">
        <v>115</v>
      </c>
      <c r="C107" s="2">
        <v>50</v>
      </c>
    </row>
    <row r="108" spans="1:3" x14ac:dyDescent="0.2">
      <c r="A108" s="2">
        <v>1200</v>
      </c>
      <c r="B108" s="2">
        <v>150</v>
      </c>
      <c r="C108" s="2">
        <v>150</v>
      </c>
    </row>
    <row r="109" spans="1:3" x14ac:dyDescent="0.2">
      <c r="A109" s="2">
        <v>1000</v>
      </c>
      <c r="B109" s="2">
        <v>300</v>
      </c>
      <c r="C109" s="2">
        <v>100</v>
      </c>
    </row>
    <row r="110" spans="1:3" x14ac:dyDescent="0.2">
      <c r="A110" s="2">
        <v>1450</v>
      </c>
      <c r="B110" s="2">
        <v>400</v>
      </c>
      <c r="C110" s="2">
        <v>140</v>
      </c>
    </row>
    <row r="111" spans="1:3" x14ac:dyDescent="0.2">
      <c r="A111" s="2">
        <v>1200</v>
      </c>
      <c r="B111" s="2">
        <v>23</v>
      </c>
      <c r="C111" s="2">
        <v>15</v>
      </c>
    </row>
    <row r="112" spans="1:3" x14ac:dyDescent="0.2">
      <c r="A112" s="2">
        <v>1300</v>
      </c>
      <c r="B112" s="2">
        <v>20</v>
      </c>
      <c r="C112" s="2">
        <v>200</v>
      </c>
    </row>
    <row r="113" spans="1:3" x14ac:dyDescent="0.2">
      <c r="A113" s="2">
        <v>1000</v>
      </c>
      <c r="B113" s="2">
        <v>400</v>
      </c>
      <c r="C113" s="2">
        <v>80</v>
      </c>
    </row>
    <row r="114" spans="1:3" x14ac:dyDescent="0.2">
      <c r="A114" s="4">
        <v>1000</v>
      </c>
      <c r="B114" s="2">
        <v>150</v>
      </c>
      <c r="C114" s="2">
        <v>20</v>
      </c>
    </row>
    <row r="115" spans="1:3" x14ac:dyDescent="0.2">
      <c r="A115" s="2">
        <v>2000</v>
      </c>
      <c r="B115" s="2">
        <v>20</v>
      </c>
      <c r="C115" s="2">
        <v>20</v>
      </c>
    </row>
    <row r="116" spans="1:3" x14ac:dyDescent="0.2">
      <c r="A116" s="2">
        <v>5000</v>
      </c>
      <c r="B116" s="2">
        <v>150</v>
      </c>
      <c r="C116" s="2">
        <v>10</v>
      </c>
    </row>
    <row r="117" spans="1:3" x14ac:dyDescent="0.2">
      <c r="A117" s="2">
        <v>850</v>
      </c>
      <c r="B117" s="2">
        <v>10</v>
      </c>
      <c r="C117" s="2">
        <v>15</v>
      </c>
    </row>
    <row r="118" spans="1:3" x14ac:dyDescent="0.2">
      <c r="A118" s="4">
        <v>2000</v>
      </c>
      <c r="B118" s="2">
        <v>20</v>
      </c>
      <c r="C118" s="2">
        <v>100</v>
      </c>
    </row>
    <row r="119" spans="1:3" x14ac:dyDescent="0.2">
      <c r="A119" s="2">
        <v>2000</v>
      </c>
      <c r="B119" s="2">
        <v>200</v>
      </c>
      <c r="C119" s="2">
        <v>100</v>
      </c>
    </row>
    <row r="120" spans="1:3" x14ac:dyDescent="0.2">
      <c r="A120" s="2">
        <v>500</v>
      </c>
      <c r="B120" s="2">
        <v>150</v>
      </c>
      <c r="C120" s="2">
        <v>100</v>
      </c>
    </row>
    <row r="121" spans="1:3" x14ac:dyDescent="0.2">
      <c r="A121" s="2">
        <v>6000</v>
      </c>
      <c r="B121" s="2">
        <v>200</v>
      </c>
      <c r="C121" s="2">
        <v>1000</v>
      </c>
    </row>
    <row r="122" spans="1:3" x14ac:dyDescent="0.2">
      <c r="A122" s="2">
        <v>900</v>
      </c>
      <c r="B122" s="2">
        <v>500</v>
      </c>
      <c r="C122" s="2">
        <v>100</v>
      </c>
    </row>
    <row r="123" spans="1:3" x14ac:dyDescent="0.2">
      <c r="A123" s="2">
        <v>1500</v>
      </c>
      <c r="B123" s="2">
        <v>100</v>
      </c>
      <c r="C123" s="2">
        <v>20</v>
      </c>
    </row>
    <row r="124" spans="1:3" x14ac:dyDescent="0.2">
      <c r="A124" s="2">
        <v>1500</v>
      </c>
      <c r="B124" s="2">
        <v>30</v>
      </c>
      <c r="C124" s="2">
        <v>20</v>
      </c>
    </row>
    <row r="125" spans="1:3" x14ac:dyDescent="0.2">
      <c r="A125" s="2">
        <v>1200</v>
      </c>
      <c r="B125" s="2">
        <v>30</v>
      </c>
      <c r="C125" s="2">
        <v>100</v>
      </c>
    </row>
    <row r="126" spans="1:3" x14ac:dyDescent="0.2">
      <c r="A126" s="2">
        <v>2000</v>
      </c>
      <c r="B126" s="2">
        <v>400</v>
      </c>
      <c r="C126" s="2">
        <v>50</v>
      </c>
    </row>
    <row r="127" spans="1:3" x14ac:dyDescent="0.2">
      <c r="A127" s="2">
        <v>1300</v>
      </c>
      <c r="B127" s="2">
        <v>600</v>
      </c>
      <c r="C127" s="2">
        <v>1000</v>
      </c>
    </row>
    <row r="128" spans="1:3" x14ac:dyDescent="0.2">
      <c r="A128" s="2">
        <v>700</v>
      </c>
      <c r="B128" s="2">
        <v>250</v>
      </c>
      <c r="C128" s="2">
        <v>40</v>
      </c>
    </row>
    <row r="129" spans="1:3" x14ac:dyDescent="0.2">
      <c r="A129" s="2">
        <v>1100</v>
      </c>
      <c r="B129" s="2">
        <v>300</v>
      </c>
      <c r="C129" s="2">
        <v>150</v>
      </c>
    </row>
    <row r="130" spans="1:3" x14ac:dyDescent="0.2">
      <c r="A130" s="2">
        <v>1100</v>
      </c>
      <c r="B130" s="2">
        <v>20</v>
      </c>
      <c r="C130" s="2">
        <v>20</v>
      </c>
    </row>
    <row r="131" spans="1:3" x14ac:dyDescent="0.2">
      <c r="A131" s="2">
        <v>700</v>
      </c>
      <c r="B131" s="2">
        <v>20</v>
      </c>
      <c r="C131" s="2">
        <v>100</v>
      </c>
    </row>
    <row r="132" spans="1:3" x14ac:dyDescent="0.2">
      <c r="A132" s="2">
        <v>1200</v>
      </c>
      <c r="B132" s="2">
        <v>30</v>
      </c>
      <c r="C132" s="2">
        <v>100</v>
      </c>
    </row>
    <row r="133" spans="1:3" x14ac:dyDescent="0.2">
      <c r="A133" s="2">
        <v>1700</v>
      </c>
      <c r="B133" s="2">
        <v>400</v>
      </c>
      <c r="C133" s="2">
        <v>75</v>
      </c>
    </row>
    <row r="134" spans="1:3" x14ac:dyDescent="0.2">
      <c r="A134" s="2">
        <v>800</v>
      </c>
      <c r="B134" s="2">
        <v>500</v>
      </c>
      <c r="C134" s="2">
        <v>200</v>
      </c>
    </row>
    <row r="135" spans="1:3" x14ac:dyDescent="0.2">
      <c r="A135" s="2">
        <v>1400</v>
      </c>
      <c r="B135" s="2">
        <v>200</v>
      </c>
      <c r="C135" s="2">
        <v>200</v>
      </c>
    </row>
    <row r="136" spans="1:3" x14ac:dyDescent="0.2">
      <c r="A136" s="2">
        <v>1400</v>
      </c>
      <c r="B136" s="2">
        <v>500</v>
      </c>
      <c r="C136" s="2">
        <v>100</v>
      </c>
    </row>
    <row r="137" spans="1:3" x14ac:dyDescent="0.2">
      <c r="A137" s="2">
        <v>1200</v>
      </c>
      <c r="B137" s="2">
        <v>500</v>
      </c>
      <c r="C137" s="2">
        <v>35</v>
      </c>
    </row>
    <row r="138" spans="1:3" x14ac:dyDescent="0.2">
      <c r="A138" s="2">
        <v>5000</v>
      </c>
      <c r="B138" s="2">
        <v>250</v>
      </c>
      <c r="C138" s="2">
        <v>50</v>
      </c>
    </row>
    <row r="139" spans="1:3" x14ac:dyDescent="0.2">
      <c r="A139" s="2">
        <v>1500</v>
      </c>
      <c r="B139" s="2">
        <v>200</v>
      </c>
      <c r="C139" s="2">
        <v>25</v>
      </c>
    </row>
    <row r="140" spans="1:3" x14ac:dyDescent="0.2">
      <c r="A140" s="2">
        <v>700</v>
      </c>
      <c r="B140" s="2">
        <v>150</v>
      </c>
      <c r="C140" s="2">
        <v>10</v>
      </c>
    </row>
    <row r="141" spans="1:3" x14ac:dyDescent="0.2">
      <c r="A141" s="4">
        <v>3000</v>
      </c>
      <c r="B141" s="2">
        <v>200</v>
      </c>
      <c r="C141" s="2">
        <v>45</v>
      </c>
    </row>
    <row r="142" spans="1:3" x14ac:dyDescent="0.2">
      <c r="A142" s="2">
        <v>1000</v>
      </c>
      <c r="B142" s="2">
        <v>300</v>
      </c>
      <c r="C142" s="2">
        <v>100</v>
      </c>
    </row>
    <row r="143" spans="1:3" x14ac:dyDescent="0.2">
      <c r="A143" s="2">
        <v>1000</v>
      </c>
      <c r="B143" s="2">
        <v>200</v>
      </c>
      <c r="C143" s="2">
        <v>100</v>
      </c>
    </row>
    <row r="144" spans="1:3" x14ac:dyDescent="0.2">
      <c r="A144" s="2">
        <v>4000</v>
      </c>
      <c r="B144" s="2">
        <v>300</v>
      </c>
      <c r="C144" s="2">
        <v>30</v>
      </c>
    </row>
    <row r="145" spans="1:3" x14ac:dyDescent="0.2">
      <c r="A145" s="2">
        <v>1200</v>
      </c>
      <c r="B145" s="2">
        <v>200</v>
      </c>
      <c r="C145" s="2">
        <v>500</v>
      </c>
    </row>
    <row r="146" spans="1:3" x14ac:dyDescent="0.2">
      <c r="A146" s="2">
        <v>2000</v>
      </c>
      <c r="B146" s="2">
        <v>100</v>
      </c>
      <c r="C146" s="2">
        <v>400</v>
      </c>
    </row>
    <row r="147" spans="1:3" x14ac:dyDescent="0.2">
      <c r="A147" s="2">
        <v>1300</v>
      </c>
      <c r="B147" s="2">
        <v>30</v>
      </c>
      <c r="C147" s="2">
        <v>30</v>
      </c>
    </row>
    <row r="148" spans="1:3" x14ac:dyDescent="0.2">
      <c r="A148" s="2">
        <v>700</v>
      </c>
      <c r="B148" s="2">
        <v>150</v>
      </c>
      <c r="C148" s="2">
        <v>25</v>
      </c>
    </row>
    <row r="149" spans="1:3" x14ac:dyDescent="0.2">
      <c r="A149" s="2">
        <v>1050</v>
      </c>
      <c r="B149" s="2">
        <v>15</v>
      </c>
      <c r="C149" s="2">
        <v>20</v>
      </c>
    </row>
    <row r="150" spans="1:3" x14ac:dyDescent="0.2">
      <c r="A150" s="2">
        <v>1500</v>
      </c>
      <c r="B150" s="2">
        <v>20</v>
      </c>
      <c r="C150" s="2">
        <v>100</v>
      </c>
    </row>
    <row r="151" spans="1:3" x14ac:dyDescent="0.2">
      <c r="A151" s="4">
        <v>1100</v>
      </c>
      <c r="B151" s="2">
        <v>200</v>
      </c>
      <c r="C151" s="2">
        <v>100</v>
      </c>
    </row>
    <row r="152" spans="1:3" x14ac:dyDescent="0.2">
      <c r="A152" s="4">
        <v>1100</v>
      </c>
      <c r="B152" s="2">
        <v>200</v>
      </c>
      <c r="C152" s="2">
        <v>15</v>
      </c>
    </row>
    <row r="153" spans="1:3" x14ac:dyDescent="0.2">
      <c r="A153" s="2">
        <v>1000</v>
      </c>
      <c r="B153" s="2">
        <v>200</v>
      </c>
      <c r="C153" s="2">
        <v>20</v>
      </c>
    </row>
    <row r="154" spans="1:3" x14ac:dyDescent="0.2">
      <c r="A154" s="2">
        <v>1000</v>
      </c>
      <c r="B154" s="2">
        <v>20</v>
      </c>
      <c r="C154" s="2">
        <v>20</v>
      </c>
    </row>
    <row r="155" spans="1:3" x14ac:dyDescent="0.2">
      <c r="A155" s="2">
        <v>1500</v>
      </c>
      <c r="B155" s="2">
        <v>40</v>
      </c>
      <c r="C155" s="2">
        <v>50</v>
      </c>
    </row>
    <row r="156" spans="1:3" x14ac:dyDescent="0.2">
      <c r="A156" s="2">
        <v>750</v>
      </c>
      <c r="B156" s="2">
        <v>15</v>
      </c>
      <c r="C156" s="2">
        <v>30</v>
      </c>
    </row>
    <row r="157" spans="1:3" x14ac:dyDescent="0.2">
      <c r="A157" s="2">
        <v>1300</v>
      </c>
      <c r="B157" s="2">
        <v>100</v>
      </c>
      <c r="C157" s="2">
        <v>100</v>
      </c>
    </row>
    <row r="158" spans="1:3" x14ac:dyDescent="0.2">
      <c r="A158" s="2">
        <v>1500</v>
      </c>
      <c r="B158" s="2">
        <v>75</v>
      </c>
      <c r="C158" s="2">
        <v>15</v>
      </c>
    </row>
    <row r="159" spans="1:3" x14ac:dyDescent="0.2">
      <c r="A159" s="2">
        <v>1500</v>
      </c>
      <c r="B159" s="2">
        <v>100</v>
      </c>
      <c r="C159" s="2">
        <v>25</v>
      </c>
    </row>
    <row r="160" spans="1:3" x14ac:dyDescent="0.2">
      <c r="A160" s="2">
        <v>1400</v>
      </c>
      <c r="B160" s="2">
        <v>30</v>
      </c>
      <c r="C160" s="2">
        <v>10</v>
      </c>
    </row>
    <row r="161" spans="1:3" x14ac:dyDescent="0.2">
      <c r="A161" s="3">
        <v>1289.25</v>
      </c>
      <c r="B161" s="2">
        <v>50</v>
      </c>
      <c r="C161" s="2">
        <v>150</v>
      </c>
    </row>
    <row r="162" spans="1:3" x14ac:dyDescent="0.2">
      <c r="A162" s="2">
        <v>2000</v>
      </c>
      <c r="B162" s="2">
        <v>100</v>
      </c>
      <c r="C162" s="2">
        <v>100</v>
      </c>
    </row>
    <row r="163" spans="1:3" x14ac:dyDescent="0.2">
      <c r="A163" s="2">
        <v>1800</v>
      </c>
      <c r="B163" s="2">
        <v>400</v>
      </c>
      <c r="C163" s="2">
        <v>900</v>
      </c>
    </row>
    <row r="164" spans="1:3" x14ac:dyDescent="0.2">
      <c r="A164" s="2">
        <v>1100</v>
      </c>
      <c r="B164" s="2">
        <v>400</v>
      </c>
      <c r="C164" s="2">
        <v>1000</v>
      </c>
    </row>
    <row r="165" spans="1:3" x14ac:dyDescent="0.2">
      <c r="A165" s="2">
        <v>1000</v>
      </c>
      <c r="B165" s="2">
        <v>12</v>
      </c>
      <c r="C165" s="2">
        <v>50</v>
      </c>
    </row>
    <row r="166" spans="1:3" x14ac:dyDescent="0.2">
      <c r="A166" s="2">
        <v>2000</v>
      </c>
      <c r="B166" s="2">
        <v>50</v>
      </c>
      <c r="C166" s="2">
        <v>30</v>
      </c>
    </row>
    <row r="167" spans="1:3" x14ac:dyDescent="0.2">
      <c r="A167" s="2">
        <v>1200</v>
      </c>
      <c r="B167" s="2">
        <v>200</v>
      </c>
      <c r="C167" s="2">
        <v>100</v>
      </c>
    </row>
    <row r="168" spans="1:3" x14ac:dyDescent="0.2">
      <c r="A168" s="2">
        <v>1400</v>
      </c>
      <c r="B168" s="2">
        <v>25</v>
      </c>
      <c r="C168" s="2">
        <v>200</v>
      </c>
    </row>
    <row r="169" spans="1:3" x14ac:dyDescent="0.2">
      <c r="A169" s="2">
        <v>1200</v>
      </c>
      <c r="B169" s="2">
        <v>300</v>
      </c>
      <c r="C169" s="2">
        <v>30</v>
      </c>
    </row>
    <row r="170" spans="1:3" x14ac:dyDescent="0.2">
      <c r="A170" s="2">
        <v>700</v>
      </c>
      <c r="B170" s="2">
        <v>20</v>
      </c>
      <c r="C170" s="2">
        <v>15</v>
      </c>
    </row>
    <row r="171" spans="1:3" x14ac:dyDescent="0.2">
      <c r="A171" s="2">
        <v>950</v>
      </c>
      <c r="B171" s="2">
        <v>350</v>
      </c>
      <c r="C171" s="2">
        <v>100</v>
      </c>
    </row>
    <row r="172" spans="1:3" x14ac:dyDescent="0.2">
      <c r="A172" s="2">
        <v>2500</v>
      </c>
      <c r="B172" s="2">
        <v>15</v>
      </c>
      <c r="C172" s="2">
        <v>150</v>
      </c>
    </row>
    <row r="173" spans="1:3" x14ac:dyDescent="0.2">
      <c r="A173" s="4">
        <v>1400</v>
      </c>
      <c r="B173" s="2">
        <v>400</v>
      </c>
      <c r="C173" s="2">
        <v>2000</v>
      </c>
    </row>
    <row r="174" spans="1:3" x14ac:dyDescent="0.2">
      <c r="A174" s="2">
        <v>1200</v>
      </c>
      <c r="B174" s="2">
        <v>15</v>
      </c>
      <c r="C174" s="2">
        <v>100</v>
      </c>
    </row>
    <row r="175" spans="1:3" x14ac:dyDescent="0.2">
      <c r="A175" s="2">
        <v>1500</v>
      </c>
      <c r="B175" s="2">
        <v>300</v>
      </c>
      <c r="C175" s="2">
        <v>100</v>
      </c>
    </row>
    <row r="176" spans="1:3" x14ac:dyDescent="0.2">
      <c r="A176" s="2">
        <v>2500</v>
      </c>
      <c r="B176" s="2">
        <v>100</v>
      </c>
      <c r="C176" s="2">
        <v>100</v>
      </c>
    </row>
    <row r="177" spans="1:3" x14ac:dyDescent="0.2">
      <c r="A177" s="2">
        <v>1200</v>
      </c>
      <c r="B177" s="2">
        <v>250</v>
      </c>
      <c r="C177" s="2">
        <v>20</v>
      </c>
    </row>
    <row r="178" spans="1:3" x14ac:dyDescent="0.2">
      <c r="A178" s="2">
        <v>1200</v>
      </c>
      <c r="B178" s="2">
        <v>250</v>
      </c>
      <c r="C178" s="2">
        <v>5</v>
      </c>
    </row>
    <row r="179" spans="1:3" x14ac:dyDescent="0.2">
      <c r="A179" s="2">
        <v>1250</v>
      </c>
      <c r="B179" s="2">
        <v>20</v>
      </c>
      <c r="C179" s="2">
        <v>200</v>
      </c>
    </row>
    <row r="180" spans="1:3" x14ac:dyDescent="0.2">
      <c r="A180" s="2">
        <v>800</v>
      </c>
      <c r="B180" s="2">
        <v>20</v>
      </c>
      <c r="C180" s="2">
        <v>20</v>
      </c>
    </row>
    <row r="181" spans="1:3" x14ac:dyDescent="0.2">
      <c r="A181" s="2">
        <v>1000</v>
      </c>
      <c r="B181" s="2">
        <v>12</v>
      </c>
      <c r="C181" s="2">
        <v>200</v>
      </c>
    </row>
    <row r="182" spans="1:3" x14ac:dyDescent="0.2">
      <c r="A182" s="2">
        <v>2000</v>
      </c>
      <c r="B182" s="2">
        <v>300</v>
      </c>
      <c r="C182" s="2">
        <v>100</v>
      </c>
    </row>
    <row r="183" spans="1:3" x14ac:dyDescent="0.2">
      <c r="A183" s="2">
        <v>800</v>
      </c>
      <c r="B183" s="2">
        <v>15</v>
      </c>
      <c r="C183" s="2">
        <v>50</v>
      </c>
    </row>
    <row r="184" spans="1:3" x14ac:dyDescent="0.2">
      <c r="A184" s="2">
        <v>2000</v>
      </c>
      <c r="B184" s="2">
        <v>40</v>
      </c>
      <c r="C184" s="2">
        <v>15</v>
      </c>
    </row>
    <row r="185" spans="1:3" x14ac:dyDescent="0.2">
      <c r="A185" s="2">
        <v>1500</v>
      </c>
      <c r="B185" s="2">
        <v>200</v>
      </c>
      <c r="C185" s="2">
        <v>30</v>
      </c>
    </row>
    <row r="186" spans="1:3" x14ac:dyDescent="0.2">
      <c r="A186" s="2">
        <v>700</v>
      </c>
      <c r="B186" s="2">
        <v>200</v>
      </c>
      <c r="C186" s="2">
        <v>20</v>
      </c>
    </row>
    <row r="187" spans="1:3" x14ac:dyDescent="0.2">
      <c r="A187" s="2">
        <v>1500</v>
      </c>
      <c r="B187" s="2">
        <v>20</v>
      </c>
      <c r="C187" s="2">
        <v>8</v>
      </c>
    </row>
    <row r="188" spans="1:3" x14ac:dyDescent="0.2">
      <c r="A188" s="2">
        <v>1200</v>
      </c>
      <c r="B188" s="2">
        <v>20</v>
      </c>
      <c r="C188" s="2">
        <v>50</v>
      </c>
    </row>
    <row r="189" spans="1:3" x14ac:dyDescent="0.2">
      <c r="A189" s="2">
        <v>1800</v>
      </c>
      <c r="B189" s="2">
        <v>10</v>
      </c>
      <c r="C189" s="2">
        <v>50</v>
      </c>
    </row>
    <row r="190" spans="1:3" x14ac:dyDescent="0.2">
      <c r="A190" s="2">
        <v>1200</v>
      </c>
      <c r="B190" s="2">
        <v>15</v>
      </c>
      <c r="C190" s="2">
        <v>200</v>
      </c>
    </row>
    <row r="191" spans="1:3" x14ac:dyDescent="0.2">
      <c r="A191" s="2">
        <v>1200</v>
      </c>
      <c r="B191" s="2">
        <v>300</v>
      </c>
      <c r="C191" s="2">
        <v>200</v>
      </c>
    </row>
    <row r="192" spans="1:3" x14ac:dyDescent="0.2">
      <c r="A192" s="2">
        <v>800</v>
      </c>
      <c r="B192" s="2">
        <v>300</v>
      </c>
      <c r="C192" s="2">
        <v>100</v>
      </c>
    </row>
    <row r="193" spans="1:3" x14ac:dyDescent="0.2">
      <c r="A193" s="2">
        <v>1500</v>
      </c>
      <c r="B193" s="2">
        <v>200</v>
      </c>
      <c r="C193" s="2">
        <v>10</v>
      </c>
    </row>
    <row r="194" spans="1:3" x14ac:dyDescent="0.2">
      <c r="A194" s="2">
        <v>1100</v>
      </c>
      <c r="B194" s="2">
        <v>50</v>
      </c>
      <c r="C194" s="2">
        <v>5</v>
      </c>
    </row>
    <row r="195" spans="1:3" x14ac:dyDescent="0.2">
      <c r="A195" s="2">
        <v>800</v>
      </c>
      <c r="B195" s="2">
        <v>400</v>
      </c>
      <c r="C195" s="2">
        <v>10</v>
      </c>
    </row>
    <row r="196" spans="1:3" x14ac:dyDescent="0.2">
      <c r="A196" s="2">
        <v>2000</v>
      </c>
      <c r="B196" s="2">
        <v>20</v>
      </c>
      <c r="C196" s="2">
        <v>20</v>
      </c>
    </row>
    <row r="197" spans="1:3" x14ac:dyDescent="0.2">
      <c r="A197" s="2">
        <v>1200</v>
      </c>
      <c r="B197" s="2">
        <v>275</v>
      </c>
      <c r="C197" s="2">
        <v>50</v>
      </c>
    </row>
    <row r="198" spans="1:3" x14ac:dyDescent="0.2">
      <c r="A198" s="2">
        <v>1500</v>
      </c>
      <c r="B198" s="2">
        <v>15</v>
      </c>
      <c r="C198" s="2">
        <v>45</v>
      </c>
    </row>
    <row r="199" spans="1:3" x14ac:dyDescent="0.2">
      <c r="A199" s="2">
        <v>1500</v>
      </c>
      <c r="B199" s="2">
        <v>200</v>
      </c>
      <c r="C199" s="2">
        <v>250</v>
      </c>
    </row>
    <row r="200" spans="1:3" x14ac:dyDescent="0.2">
      <c r="A200" s="2">
        <v>1000</v>
      </c>
      <c r="B200" s="2">
        <v>200</v>
      </c>
      <c r="C200" s="2">
        <v>250</v>
      </c>
    </row>
    <row r="201" spans="1:3" x14ac:dyDescent="0.2">
      <c r="A201" s="2">
        <v>1600</v>
      </c>
      <c r="B201" s="2">
        <v>500</v>
      </c>
      <c r="C201" s="2">
        <v>50</v>
      </c>
    </row>
    <row r="202" spans="1:3" x14ac:dyDescent="0.2">
      <c r="A202" s="4">
        <v>2500</v>
      </c>
      <c r="B202" s="4">
        <v>1500</v>
      </c>
      <c r="C202" s="2">
        <v>250</v>
      </c>
    </row>
    <row r="203" spans="1:3" x14ac:dyDescent="0.2">
      <c r="A203" s="4">
        <v>1750</v>
      </c>
      <c r="B203" s="4">
        <v>1000</v>
      </c>
      <c r="C203" s="2">
        <v>200</v>
      </c>
    </row>
    <row r="204" spans="1:3" x14ac:dyDescent="0.2">
      <c r="A204" s="4">
        <v>1300</v>
      </c>
      <c r="B204" s="2">
        <v>100</v>
      </c>
      <c r="C204" s="2">
        <v>35</v>
      </c>
    </row>
    <row r="205" spans="1:3" x14ac:dyDescent="0.2">
      <c r="A205" s="2">
        <v>900</v>
      </c>
      <c r="B205" s="2">
        <v>200</v>
      </c>
      <c r="C205" s="2">
        <v>500</v>
      </c>
    </row>
    <row r="206" spans="1:3" x14ac:dyDescent="0.2">
      <c r="A206" s="2">
        <v>1200</v>
      </c>
      <c r="B206" s="2">
        <v>300</v>
      </c>
      <c r="C206" s="2">
        <v>200</v>
      </c>
    </row>
    <row r="207" spans="1:3" x14ac:dyDescent="0.2">
      <c r="A207" s="2">
        <v>1100</v>
      </c>
      <c r="B207" s="2">
        <v>100</v>
      </c>
      <c r="C207" s="2">
        <v>500</v>
      </c>
    </row>
    <row r="208" spans="1:3" x14ac:dyDescent="0.2">
      <c r="A208" s="2">
        <v>700</v>
      </c>
      <c r="B208" s="2">
        <v>10</v>
      </c>
      <c r="C208" s="2">
        <v>20</v>
      </c>
    </row>
    <row r="209" spans="1:3" x14ac:dyDescent="0.2">
      <c r="A209" s="2">
        <v>1500</v>
      </c>
      <c r="B209" s="2">
        <v>200</v>
      </c>
      <c r="C209" s="2">
        <v>10</v>
      </c>
    </row>
    <row r="210" spans="1:3" x14ac:dyDescent="0.2">
      <c r="A210" s="2">
        <v>1500</v>
      </c>
      <c r="B210" s="2">
        <v>500</v>
      </c>
      <c r="C210" s="2">
        <v>20</v>
      </c>
    </row>
    <row r="211" spans="1:3" x14ac:dyDescent="0.2">
      <c r="A211" s="2">
        <v>1100</v>
      </c>
      <c r="B211" s="2">
        <v>100</v>
      </c>
      <c r="C211" s="2">
        <v>20</v>
      </c>
    </row>
    <row r="212" spans="1:3" x14ac:dyDescent="0.2">
      <c r="A212" s="2">
        <v>1000</v>
      </c>
      <c r="B212" s="2">
        <v>100</v>
      </c>
      <c r="C212" s="2">
        <v>50</v>
      </c>
    </row>
    <row r="213" spans="1:3" x14ac:dyDescent="0.2">
      <c r="A213" s="2">
        <v>600</v>
      </c>
      <c r="B213" s="2">
        <v>100</v>
      </c>
      <c r="C213" s="2">
        <v>50</v>
      </c>
    </row>
    <row r="214" spans="1:3" x14ac:dyDescent="0.2">
      <c r="A214" s="2">
        <v>1000</v>
      </c>
      <c r="B214" s="2">
        <v>30</v>
      </c>
      <c r="C214" s="2">
        <v>10</v>
      </c>
    </row>
    <row r="215" spans="1:3" x14ac:dyDescent="0.2">
      <c r="A215" s="2">
        <v>1500</v>
      </c>
      <c r="B215" s="2">
        <v>400</v>
      </c>
      <c r="C215" s="2">
        <v>50</v>
      </c>
    </row>
    <row r="216" spans="1:3" x14ac:dyDescent="0.2">
      <c r="A216" s="2">
        <v>1700</v>
      </c>
      <c r="B216" s="2">
        <v>200</v>
      </c>
      <c r="C216" s="2">
        <v>100</v>
      </c>
    </row>
    <row r="217" spans="1:3" x14ac:dyDescent="0.2">
      <c r="A217" s="2">
        <v>1200</v>
      </c>
      <c r="B217" s="2">
        <v>10</v>
      </c>
      <c r="C217" s="2">
        <v>100</v>
      </c>
    </row>
    <row r="218" spans="1:3" x14ac:dyDescent="0.2">
      <c r="A218" s="2">
        <v>1500</v>
      </c>
      <c r="B218" s="2">
        <v>100</v>
      </c>
      <c r="C218" s="2">
        <v>50</v>
      </c>
    </row>
    <row r="219" spans="1:3" x14ac:dyDescent="0.2">
      <c r="A219" s="2">
        <v>1200</v>
      </c>
      <c r="B219" s="2">
        <v>200</v>
      </c>
      <c r="C219" s="2">
        <v>100</v>
      </c>
    </row>
    <row r="220" spans="1:3" x14ac:dyDescent="0.2">
      <c r="A220" s="2">
        <v>1300</v>
      </c>
      <c r="B220" s="2">
        <v>150</v>
      </c>
      <c r="C220" s="2">
        <v>300</v>
      </c>
    </row>
    <row r="221" spans="1:3" x14ac:dyDescent="0.2">
      <c r="A221" s="2">
        <v>1000</v>
      </c>
      <c r="B221" s="2">
        <v>300</v>
      </c>
      <c r="C221" s="2">
        <v>400</v>
      </c>
    </row>
    <row r="222" spans="1:3" x14ac:dyDescent="0.2">
      <c r="A222" s="2">
        <v>2000</v>
      </c>
      <c r="B222" s="2">
        <v>300</v>
      </c>
      <c r="C222" s="2">
        <v>200</v>
      </c>
    </row>
    <row r="223" spans="1:3" x14ac:dyDescent="0.2">
      <c r="A223" s="2">
        <v>1500</v>
      </c>
      <c r="B223" s="2">
        <v>400</v>
      </c>
      <c r="C223" s="2">
        <v>50</v>
      </c>
    </row>
    <row r="224" spans="1:3" x14ac:dyDescent="0.2">
      <c r="A224" s="2">
        <v>2500</v>
      </c>
      <c r="B224" s="2">
        <v>500</v>
      </c>
      <c r="C224" s="2">
        <v>10</v>
      </c>
    </row>
    <row r="225" spans="1:3" x14ac:dyDescent="0.2">
      <c r="A225" s="2">
        <v>950</v>
      </c>
      <c r="B225" s="2">
        <v>50</v>
      </c>
      <c r="C225" s="2">
        <v>50</v>
      </c>
    </row>
    <row r="226" spans="1:3" x14ac:dyDescent="0.2">
      <c r="A226" s="2">
        <v>1200</v>
      </c>
      <c r="B226" s="2">
        <v>100</v>
      </c>
      <c r="C226" s="2">
        <v>100</v>
      </c>
    </row>
    <row r="227" spans="1:3" x14ac:dyDescent="0.2">
      <c r="A227" s="2">
        <v>1500</v>
      </c>
      <c r="B227" s="2">
        <v>15</v>
      </c>
      <c r="C227" s="2">
        <v>15</v>
      </c>
    </row>
    <row r="228" spans="1:3" x14ac:dyDescent="0.2">
      <c r="A228" s="2">
        <v>2400</v>
      </c>
      <c r="B228" s="2">
        <v>500</v>
      </c>
      <c r="C228" s="2">
        <v>50</v>
      </c>
    </row>
    <row r="229" spans="1:3" x14ac:dyDescent="0.2">
      <c r="A229" s="2">
        <v>1000</v>
      </c>
      <c r="B229" s="2">
        <v>30</v>
      </c>
      <c r="C229" s="2">
        <v>50</v>
      </c>
    </row>
    <row r="230" spans="1:3" x14ac:dyDescent="0.2">
      <c r="A230" s="2">
        <v>1000</v>
      </c>
      <c r="B230" s="2">
        <v>75</v>
      </c>
      <c r="C230" s="2">
        <v>45</v>
      </c>
    </row>
    <row r="231" spans="1:3" x14ac:dyDescent="0.2">
      <c r="A231" s="2">
        <v>1200</v>
      </c>
      <c r="B231" s="2">
        <v>200</v>
      </c>
      <c r="C231" s="2">
        <v>10</v>
      </c>
    </row>
    <row r="232" spans="1:3" x14ac:dyDescent="0.2">
      <c r="A232" s="2">
        <v>1600</v>
      </c>
      <c r="B232" s="2">
        <v>400</v>
      </c>
      <c r="C232" s="2">
        <v>200</v>
      </c>
    </row>
    <row r="233" spans="1:3" x14ac:dyDescent="0.2">
      <c r="A233" s="2">
        <v>1600</v>
      </c>
      <c r="B233" s="2">
        <v>400</v>
      </c>
      <c r="C233" s="2">
        <v>50</v>
      </c>
    </row>
    <row r="234" spans="1:3" x14ac:dyDescent="0.2">
      <c r="A234" s="2">
        <v>1600</v>
      </c>
      <c r="B234" s="2">
        <v>500</v>
      </c>
      <c r="C234" s="2">
        <v>15</v>
      </c>
    </row>
    <row r="235" spans="1:3" x14ac:dyDescent="0.2">
      <c r="A235" s="2">
        <v>1200</v>
      </c>
      <c r="B235" s="2">
        <v>15</v>
      </c>
      <c r="C235" s="2">
        <v>50</v>
      </c>
    </row>
    <row r="236" spans="1:3" x14ac:dyDescent="0.2">
      <c r="A236" s="2">
        <v>1100</v>
      </c>
      <c r="B236" s="2">
        <v>500</v>
      </c>
      <c r="C236" s="2">
        <v>50</v>
      </c>
    </row>
    <row r="237" spans="1:3" x14ac:dyDescent="0.2">
      <c r="A237" s="2">
        <v>1500</v>
      </c>
      <c r="B237" s="2">
        <v>100</v>
      </c>
      <c r="C237" s="2">
        <v>100</v>
      </c>
    </row>
    <row r="238" spans="1:3" x14ac:dyDescent="0.2">
      <c r="A238" s="2">
        <v>1500</v>
      </c>
      <c r="B238" s="2">
        <v>30</v>
      </c>
      <c r="C238" s="2">
        <v>200</v>
      </c>
    </row>
    <row r="239" spans="1:3" x14ac:dyDescent="0.2">
      <c r="A239" s="2">
        <v>800</v>
      </c>
      <c r="B239" s="2">
        <v>400</v>
      </c>
      <c r="C239" s="2">
        <v>1000</v>
      </c>
    </row>
    <row r="240" spans="1:3" x14ac:dyDescent="0.2">
      <c r="A240" s="2">
        <v>800</v>
      </c>
      <c r="B240" s="2">
        <v>400</v>
      </c>
      <c r="C240" s="2">
        <v>350</v>
      </c>
    </row>
    <row r="241" spans="1:3" x14ac:dyDescent="0.2">
      <c r="A241" s="2">
        <v>3000</v>
      </c>
      <c r="B241" s="2">
        <v>300</v>
      </c>
      <c r="C241" s="2">
        <v>10</v>
      </c>
    </row>
    <row r="242" spans="1:3" x14ac:dyDescent="0.2">
      <c r="A242" s="2">
        <v>2000</v>
      </c>
      <c r="B242" s="2">
        <v>400</v>
      </c>
      <c r="C242" s="2">
        <v>30</v>
      </c>
    </row>
    <row r="243" spans="1:3" x14ac:dyDescent="0.2">
      <c r="A243" s="4">
        <v>1000</v>
      </c>
      <c r="B243" s="2">
        <v>80</v>
      </c>
      <c r="C243" s="2">
        <v>200</v>
      </c>
    </row>
    <row r="244" spans="1:3" x14ac:dyDescent="0.2">
      <c r="A244" s="2">
        <v>1500</v>
      </c>
      <c r="B244" s="2">
        <v>400</v>
      </c>
      <c r="C244" s="2">
        <v>200</v>
      </c>
    </row>
    <row r="245" spans="1:3" x14ac:dyDescent="0.2">
      <c r="A245" s="2">
        <v>1600</v>
      </c>
      <c r="B245" s="2">
        <v>15</v>
      </c>
      <c r="C245" s="2">
        <v>200</v>
      </c>
    </row>
    <row r="246" spans="1:3" x14ac:dyDescent="0.2">
      <c r="A246" s="2">
        <v>700</v>
      </c>
      <c r="B246" s="2">
        <v>300</v>
      </c>
      <c r="C246" s="2">
        <v>500</v>
      </c>
    </row>
    <row r="247" spans="1:3" x14ac:dyDescent="0.2">
      <c r="A247" s="2">
        <v>1500</v>
      </c>
      <c r="B247" s="2">
        <v>300</v>
      </c>
      <c r="C247" s="2">
        <v>100</v>
      </c>
    </row>
    <row r="248" spans="1:3" x14ac:dyDescent="0.2">
      <c r="A248" s="2">
        <v>1500</v>
      </c>
      <c r="B248" s="2">
        <v>300</v>
      </c>
      <c r="C248" s="2">
        <v>30</v>
      </c>
    </row>
    <row r="249" spans="1:3" x14ac:dyDescent="0.2">
      <c r="A249" s="2">
        <v>1300</v>
      </c>
      <c r="B249" s="2">
        <v>400</v>
      </c>
      <c r="C249" s="2">
        <v>100</v>
      </c>
    </row>
    <row r="250" spans="1:3" x14ac:dyDescent="0.2">
      <c r="A250" s="2">
        <v>1010</v>
      </c>
      <c r="B250" s="2">
        <v>300</v>
      </c>
      <c r="C250" s="2">
        <v>15</v>
      </c>
    </row>
    <row r="251" spans="1:3" x14ac:dyDescent="0.2">
      <c r="A251" s="2">
        <v>4109</v>
      </c>
      <c r="B251" s="2">
        <v>150</v>
      </c>
      <c r="C251" s="2">
        <v>100</v>
      </c>
    </row>
    <row r="252" spans="1:3" x14ac:dyDescent="0.2">
      <c r="A252" s="2">
        <v>900</v>
      </c>
      <c r="B252" s="2">
        <v>200</v>
      </c>
      <c r="C252" s="2">
        <v>30</v>
      </c>
    </row>
    <row r="253" spans="1:3" x14ac:dyDescent="0.2">
      <c r="A253" s="2">
        <v>4109</v>
      </c>
      <c r="B253" s="2">
        <v>150</v>
      </c>
      <c r="C253" s="2">
        <v>50</v>
      </c>
    </row>
    <row r="254" spans="1:3" x14ac:dyDescent="0.2">
      <c r="A254" s="2">
        <v>1020</v>
      </c>
      <c r="B254" s="2">
        <v>150</v>
      </c>
      <c r="C254" s="2">
        <v>90</v>
      </c>
    </row>
    <row r="255" spans="1:3" x14ac:dyDescent="0.2">
      <c r="A255" s="2">
        <v>1400</v>
      </c>
      <c r="B255" s="2">
        <v>500</v>
      </c>
      <c r="C255" s="2">
        <v>50</v>
      </c>
    </row>
    <row r="256" spans="1:3" x14ac:dyDescent="0.2">
      <c r="A256" s="2">
        <v>600</v>
      </c>
      <c r="B256" s="2">
        <v>100</v>
      </c>
      <c r="C256" s="2">
        <v>100</v>
      </c>
    </row>
    <row r="257" spans="1:3" x14ac:dyDescent="0.2">
      <c r="A257" s="2">
        <v>1600</v>
      </c>
      <c r="B257" s="2">
        <v>150</v>
      </c>
      <c r="C257" s="2">
        <v>200</v>
      </c>
    </row>
    <row r="258" spans="1:3" x14ac:dyDescent="0.2">
      <c r="A258" s="2">
        <v>3000</v>
      </c>
      <c r="B258" s="2">
        <v>300</v>
      </c>
      <c r="C258" s="2">
        <v>90</v>
      </c>
    </row>
    <row r="259" spans="1:3" x14ac:dyDescent="0.2">
      <c r="A259" s="2">
        <v>100</v>
      </c>
      <c r="B259" s="2">
        <v>250</v>
      </c>
      <c r="C259" s="2">
        <v>100</v>
      </c>
    </row>
    <row r="260" spans="1:3" x14ac:dyDescent="0.2">
      <c r="A260" s="2">
        <v>750</v>
      </c>
      <c r="B260" s="2">
        <v>400</v>
      </c>
      <c r="C260" s="2">
        <v>200</v>
      </c>
    </row>
    <row r="261" spans="1:3" x14ac:dyDescent="0.2">
      <c r="A261" s="2">
        <v>1000</v>
      </c>
      <c r="B261" s="2">
        <v>500</v>
      </c>
      <c r="C261" s="2">
        <v>20</v>
      </c>
    </row>
    <row r="262" spans="1:3" x14ac:dyDescent="0.2">
      <c r="A262" s="2">
        <v>1200</v>
      </c>
      <c r="B262" s="2">
        <v>400</v>
      </c>
      <c r="C262" s="2">
        <v>800</v>
      </c>
    </row>
    <row r="263" spans="1:3" x14ac:dyDescent="0.2">
      <c r="A263" s="2">
        <v>2450</v>
      </c>
      <c r="B263" s="2">
        <v>1300</v>
      </c>
      <c r="C263" s="2">
        <v>100</v>
      </c>
    </row>
    <row r="264" spans="1:3" x14ac:dyDescent="0.2">
      <c r="A264" s="2">
        <v>800</v>
      </c>
      <c r="B264" s="2">
        <v>150</v>
      </c>
      <c r="C264" s="2">
        <v>15</v>
      </c>
    </row>
    <row r="265" spans="1:3" x14ac:dyDescent="0.2">
      <c r="A265" s="4">
        <v>1000</v>
      </c>
      <c r="B265" s="2">
        <v>20</v>
      </c>
      <c r="C265" s="2">
        <v>200</v>
      </c>
    </row>
    <row r="266" spans="1:3" x14ac:dyDescent="0.2">
      <c r="A266" s="2">
        <v>1100</v>
      </c>
      <c r="B266" s="2">
        <v>100</v>
      </c>
      <c r="C266" s="2">
        <v>30</v>
      </c>
    </row>
    <row r="267" spans="1:3" x14ac:dyDescent="0.2">
      <c r="A267" s="2">
        <v>1500</v>
      </c>
      <c r="B267" s="2">
        <v>200</v>
      </c>
      <c r="C267" s="2">
        <v>40</v>
      </c>
    </row>
    <row r="268" spans="1:3" x14ac:dyDescent="0.2">
      <c r="A268" s="2">
        <v>750</v>
      </c>
      <c r="B268" s="2">
        <v>15</v>
      </c>
      <c r="C268" s="2">
        <v>100</v>
      </c>
    </row>
    <row r="269" spans="1:3" x14ac:dyDescent="0.2">
      <c r="A269" s="2">
        <v>1300</v>
      </c>
      <c r="B269" s="2">
        <v>25</v>
      </c>
      <c r="C269" s="2">
        <v>500</v>
      </c>
    </row>
    <row r="270" spans="1:3" x14ac:dyDescent="0.2">
      <c r="A270" s="4">
        <v>1150</v>
      </c>
      <c r="B270" s="2">
        <v>200</v>
      </c>
      <c r="C270" s="2">
        <v>100</v>
      </c>
    </row>
    <row r="271" spans="1:3" x14ac:dyDescent="0.2">
      <c r="A271" s="2">
        <v>1400</v>
      </c>
      <c r="B271" s="2">
        <v>600</v>
      </c>
      <c r="C271" s="2">
        <v>150</v>
      </c>
    </row>
    <row r="272" spans="1:3" x14ac:dyDescent="0.2">
      <c r="A272" s="2">
        <v>1200</v>
      </c>
      <c r="B272" s="2">
        <v>500</v>
      </c>
      <c r="C272" s="2">
        <v>100</v>
      </c>
    </row>
    <row r="273" spans="1:3" x14ac:dyDescent="0.2">
      <c r="A273" s="2">
        <v>900</v>
      </c>
      <c r="B273" s="2">
        <v>275</v>
      </c>
      <c r="C273" s="2">
        <v>120</v>
      </c>
    </row>
    <row r="274" spans="1:3" x14ac:dyDescent="0.2">
      <c r="A274" s="2">
        <v>1200</v>
      </c>
      <c r="B274" s="2">
        <v>200</v>
      </c>
      <c r="C274" s="2">
        <v>50</v>
      </c>
    </row>
    <row r="275" spans="1:3" x14ac:dyDescent="0.2">
      <c r="A275" s="2">
        <v>1500</v>
      </c>
      <c r="B275" s="2">
        <v>15</v>
      </c>
      <c r="C275" s="2">
        <v>20</v>
      </c>
    </row>
    <row r="276" spans="1:3" x14ac:dyDescent="0.2">
      <c r="A276" s="2">
        <v>1300</v>
      </c>
      <c r="B276" s="2">
        <v>500</v>
      </c>
      <c r="C276" s="2">
        <v>200</v>
      </c>
    </row>
    <row r="277" spans="1:3" x14ac:dyDescent="0.2">
      <c r="A277" s="2">
        <v>1300</v>
      </c>
      <c r="B277" s="2">
        <v>400</v>
      </c>
      <c r="C277" s="2">
        <v>60</v>
      </c>
    </row>
    <row r="278" spans="1:3" x14ac:dyDescent="0.2">
      <c r="A278" s="4">
        <v>1000</v>
      </c>
      <c r="B278" s="2">
        <v>200</v>
      </c>
      <c r="C278" s="2">
        <v>30</v>
      </c>
    </row>
    <row r="279" spans="1:3" x14ac:dyDescent="0.2">
      <c r="A279" s="2">
        <v>3000</v>
      </c>
      <c r="B279" s="2">
        <v>30</v>
      </c>
      <c r="C279" s="2">
        <v>50</v>
      </c>
    </row>
    <row r="280" spans="1:3" x14ac:dyDescent="0.2">
      <c r="A280" s="2">
        <v>1000</v>
      </c>
      <c r="B280" s="2">
        <v>100</v>
      </c>
      <c r="C280" s="2">
        <v>3000</v>
      </c>
    </row>
    <row r="281" spans="1:3" x14ac:dyDescent="0.2">
      <c r="A281" s="2">
        <v>600</v>
      </c>
      <c r="B281" s="2">
        <v>40</v>
      </c>
      <c r="C281" s="2">
        <v>25</v>
      </c>
    </row>
    <row r="282" spans="1:3" x14ac:dyDescent="0.2">
      <c r="A282" s="2">
        <v>1500</v>
      </c>
      <c r="B282" s="2">
        <v>30</v>
      </c>
      <c r="C282" s="2">
        <v>400</v>
      </c>
    </row>
    <row r="283" spans="1:3" x14ac:dyDescent="0.2">
      <c r="A283" s="2">
        <v>1000</v>
      </c>
      <c r="B283" s="2">
        <v>100</v>
      </c>
      <c r="C283" s="2">
        <v>1000</v>
      </c>
    </row>
    <row r="284" spans="1:3" x14ac:dyDescent="0.2">
      <c r="A284" s="2">
        <v>3000</v>
      </c>
      <c r="B284" s="2">
        <v>3000</v>
      </c>
      <c r="C284" s="2">
        <v>50</v>
      </c>
    </row>
    <row r="285" spans="1:3" x14ac:dyDescent="0.2">
      <c r="A285" s="2">
        <v>1000</v>
      </c>
      <c r="B285" s="2">
        <v>100</v>
      </c>
      <c r="C285" s="2">
        <v>200</v>
      </c>
    </row>
    <row r="286" spans="1:3" x14ac:dyDescent="0.2">
      <c r="A286" s="2">
        <v>1200</v>
      </c>
      <c r="B286" s="2">
        <v>20</v>
      </c>
      <c r="C286" s="2">
        <v>300</v>
      </c>
    </row>
    <row r="287" spans="1:3" x14ac:dyDescent="0.2">
      <c r="A287" s="2">
        <v>1000</v>
      </c>
      <c r="B287" s="2">
        <v>350</v>
      </c>
      <c r="C287" s="2">
        <v>100</v>
      </c>
    </row>
    <row r="288" spans="1:3" x14ac:dyDescent="0.2">
      <c r="A288" s="2">
        <v>2000</v>
      </c>
      <c r="B288" s="2">
        <v>500</v>
      </c>
      <c r="C288" s="2">
        <v>75</v>
      </c>
    </row>
    <row r="289" spans="1:3" x14ac:dyDescent="0.2">
      <c r="A289" s="2">
        <v>900</v>
      </c>
      <c r="B289" s="2">
        <v>300</v>
      </c>
      <c r="C289" s="2">
        <v>10</v>
      </c>
    </row>
    <row r="290" spans="1:3" x14ac:dyDescent="0.2">
      <c r="A290" s="2">
        <v>1200</v>
      </c>
      <c r="B290" s="2">
        <v>400</v>
      </c>
      <c r="C290" s="2">
        <v>300</v>
      </c>
    </row>
    <row r="291" spans="1:3" x14ac:dyDescent="0.2">
      <c r="A291" s="2">
        <v>1000</v>
      </c>
      <c r="B291" s="2">
        <v>15</v>
      </c>
      <c r="C291" s="2">
        <v>20</v>
      </c>
    </row>
    <row r="292" spans="1:3" x14ac:dyDescent="0.2">
      <c r="A292" s="2">
        <v>800</v>
      </c>
      <c r="B292" s="2">
        <v>1000</v>
      </c>
      <c r="C292" s="2">
        <v>100</v>
      </c>
    </row>
    <row r="293" spans="1:3" x14ac:dyDescent="0.2">
      <c r="A293" s="2">
        <v>1300</v>
      </c>
      <c r="B293" s="2">
        <v>400</v>
      </c>
      <c r="C293" s="2">
        <v>200</v>
      </c>
    </row>
    <row r="294" spans="1:3" x14ac:dyDescent="0.2">
      <c r="A294" s="2">
        <v>750</v>
      </c>
      <c r="B294" s="2">
        <v>20</v>
      </c>
      <c r="C294" s="2">
        <v>100</v>
      </c>
    </row>
    <row r="295" spans="1:3" x14ac:dyDescent="0.2">
      <c r="A295" s="2">
        <v>500</v>
      </c>
      <c r="B295" s="2">
        <v>20</v>
      </c>
      <c r="C295" s="2">
        <v>200</v>
      </c>
    </row>
    <row r="296" spans="1:3" x14ac:dyDescent="0.2">
      <c r="A296" s="2">
        <v>800</v>
      </c>
      <c r="B296" s="2">
        <v>50</v>
      </c>
      <c r="C296" s="2">
        <v>30</v>
      </c>
    </row>
    <row r="297" spans="1:3" x14ac:dyDescent="0.2">
      <c r="A297" s="2">
        <v>600</v>
      </c>
      <c r="B297" s="2">
        <v>100</v>
      </c>
      <c r="C297" s="2">
        <v>100</v>
      </c>
    </row>
    <row r="298" spans="1:3" x14ac:dyDescent="0.2">
      <c r="A298" s="2">
        <v>1000</v>
      </c>
      <c r="B298" s="2">
        <v>300</v>
      </c>
      <c r="C298" s="2">
        <v>200</v>
      </c>
    </row>
    <row r="299" spans="1:3" x14ac:dyDescent="0.2">
      <c r="A299" s="2">
        <v>600</v>
      </c>
      <c r="B299" s="2">
        <v>300</v>
      </c>
      <c r="C299" s="2">
        <v>20</v>
      </c>
    </row>
    <row r="300" spans="1:3" x14ac:dyDescent="0.2">
      <c r="A300" s="2">
        <v>900</v>
      </c>
      <c r="B300" s="2">
        <v>300</v>
      </c>
      <c r="C300" s="2">
        <v>20</v>
      </c>
    </row>
    <row r="301" spans="1:3" x14ac:dyDescent="0.2">
      <c r="A301" s="2">
        <v>600</v>
      </c>
      <c r="B301" s="2">
        <v>30</v>
      </c>
      <c r="C301" s="2">
        <v>1000</v>
      </c>
    </row>
    <row r="302" spans="1:3" x14ac:dyDescent="0.2">
      <c r="A302" s="2">
        <v>1500</v>
      </c>
      <c r="B302" s="2">
        <v>500</v>
      </c>
      <c r="C302" s="2">
        <v>30</v>
      </c>
    </row>
    <row r="303" spans="1:3" x14ac:dyDescent="0.2">
      <c r="A303" s="2">
        <v>1300</v>
      </c>
      <c r="B303" s="2">
        <v>300</v>
      </c>
      <c r="C303" s="2">
        <v>100</v>
      </c>
    </row>
    <row r="304" spans="1:3" x14ac:dyDescent="0.2">
      <c r="A304" s="2">
        <v>1000</v>
      </c>
      <c r="B304" s="2">
        <v>70</v>
      </c>
      <c r="C304" s="2">
        <v>50</v>
      </c>
    </row>
    <row r="305" spans="1:3" x14ac:dyDescent="0.2">
      <c r="A305" s="2">
        <v>1500</v>
      </c>
      <c r="B305" s="2">
        <v>450</v>
      </c>
      <c r="C305" s="2">
        <v>2500</v>
      </c>
    </row>
    <row r="306" spans="1:3" x14ac:dyDescent="0.2">
      <c r="A306" s="2">
        <v>1000</v>
      </c>
      <c r="B306" s="2">
        <v>50</v>
      </c>
      <c r="C306" s="2">
        <v>25</v>
      </c>
    </row>
    <row r="307" spans="1:3" x14ac:dyDescent="0.2">
      <c r="A307" s="2">
        <v>500</v>
      </c>
      <c r="B307" s="2">
        <v>100</v>
      </c>
      <c r="C307" s="2">
        <v>25</v>
      </c>
    </row>
    <row r="308" spans="1:3" x14ac:dyDescent="0.2">
      <c r="A308" s="2">
        <v>500</v>
      </c>
      <c r="B308" s="2">
        <v>300</v>
      </c>
      <c r="C308" s="2">
        <v>100</v>
      </c>
    </row>
    <row r="309" spans="1:3" x14ac:dyDescent="0.2">
      <c r="A309" s="2">
        <v>100000</v>
      </c>
      <c r="B309" s="2">
        <v>50000</v>
      </c>
      <c r="C309" s="2">
        <v>15</v>
      </c>
    </row>
    <row r="310" spans="1:3" x14ac:dyDescent="0.2">
      <c r="A310" s="2">
        <v>1000</v>
      </c>
      <c r="B310" s="2">
        <v>20</v>
      </c>
      <c r="C310" s="2">
        <v>100</v>
      </c>
    </row>
    <row r="311" spans="1:3" x14ac:dyDescent="0.2">
      <c r="A311" s="2">
        <v>3000</v>
      </c>
      <c r="B311" s="2">
        <v>2000</v>
      </c>
      <c r="C311" s="2">
        <v>10</v>
      </c>
    </row>
    <row r="312" spans="1:3" x14ac:dyDescent="0.2">
      <c r="A312" s="2">
        <v>1000</v>
      </c>
      <c r="B312" s="2">
        <v>50</v>
      </c>
      <c r="C312" s="2">
        <v>100</v>
      </c>
    </row>
    <row r="313" spans="1:3" x14ac:dyDescent="0.2">
      <c r="A313" s="2">
        <v>1300</v>
      </c>
      <c r="B313" s="2">
        <v>10</v>
      </c>
      <c r="C313" s="2">
        <v>250</v>
      </c>
    </row>
    <row r="314" spans="1:3" x14ac:dyDescent="0.2">
      <c r="A314" s="2">
        <v>950</v>
      </c>
      <c r="B314" s="2">
        <v>10</v>
      </c>
      <c r="C314" s="2">
        <v>100</v>
      </c>
    </row>
    <row r="315" spans="1:3" x14ac:dyDescent="0.2">
      <c r="A315" s="2">
        <v>1500</v>
      </c>
      <c r="B315" s="2">
        <v>50</v>
      </c>
      <c r="C315" s="2">
        <v>100</v>
      </c>
    </row>
    <row r="316" spans="1:3" x14ac:dyDescent="0.2">
      <c r="A316" s="2">
        <v>1000</v>
      </c>
      <c r="B316" s="2">
        <v>25</v>
      </c>
      <c r="C316" s="2">
        <v>20</v>
      </c>
    </row>
    <row r="317" spans="1:3" x14ac:dyDescent="0.2">
      <c r="A317" s="2">
        <v>1500</v>
      </c>
      <c r="B317" s="2">
        <v>500</v>
      </c>
      <c r="C317" s="2">
        <v>200</v>
      </c>
    </row>
    <row r="318" spans="1:3" x14ac:dyDescent="0.2">
      <c r="A318" s="2">
        <v>500</v>
      </c>
      <c r="B318" s="2">
        <v>200</v>
      </c>
      <c r="C318" s="2">
        <v>300</v>
      </c>
    </row>
    <row r="319" spans="1:3" x14ac:dyDescent="0.2">
      <c r="A319" s="2">
        <v>600</v>
      </c>
      <c r="B319" s="2">
        <v>10</v>
      </c>
      <c r="C319" s="2">
        <v>120</v>
      </c>
    </row>
    <row r="320" spans="1:3" x14ac:dyDescent="0.2">
      <c r="A320" s="2">
        <v>1800</v>
      </c>
      <c r="B320" s="2">
        <v>500</v>
      </c>
      <c r="C320" s="2">
        <v>100</v>
      </c>
    </row>
    <row r="321" spans="1:3" x14ac:dyDescent="0.2">
      <c r="A321" s="2">
        <v>2000</v>
      </c>
      <c r="B321" s="2">
        <v>450</v>
      </c>
      <c r="C321" s="2">
        <v>30</v>
      </c>
    </row>
    <row r="322" spans="1:3" x14ac:dyDescent="0.2">
      <c r="A322" s="2">
        <v>1600</v>
      </c>
      <c r="B322" s="2">
        <v>200</v>
      </c>
      <c r="C322" s="2">
        <v>100</v>
      </c>
    </row>
    <row r="323" spans="1:3" x14ac:dyDescent="0.2">
      <c r="A323" s="2">
        <v>2300</v>
      </c>
      <c r="B323" s="2">
        <v>50</v>
      </c>
      <c r="C323" s="2">
        <v>50</v>
      </c>
    </row>
    <row r="324" spans="1:3" x14ac:dyDescent="0.2">
      <c r="A324" s="2">
        <v>800</v>
      </c>
      <c r="B324" s="2">
        <v>200</v>
      </c>
      <c r="C324" s="2">
        <v>5</v>
      </c>
    </row>
    <row r="325" spans="1:3" x14ac:dyDescent="0.2">
      <c r="A325" s="2">
        <v>1600</v>
      </c>
      <c r="B325" s="2">
        <v>1000</v>
      </c>
      <c r="C325" s="2">
        <v>20</v>
      </c>
    </row>
    <row r="326" spans="1:3" x14ac:dyDescent="0.2">
      <c r="A326" s="2">
        <v>850</v>
      </c>
      <c r="B326" s="2">
        <v>400</v>
      </c>
      <c r="C326" s="2">
        <v>50</v>
      </c>
    </row>
    <row r="327" spans="1:3" x14ac:dyDescent="0.2">
      <c r="A327" s="2">
        <v>1500</v>
      </c>
      <c r="B327" s="2">
        <v>20</v>
      </c>
      <c r="C327" s="2">
        <v>200</v>
      </c>
    </row>
    <row r="328" spans="1:3" x14ac:dyDescent="0.2">
      <c r="A328" s="2">
        <v>1500</v>
      </c>
      <c r="B328" s="2">
        <v>300</v>
      </c>
      <c r="C328" s="2">
        <v>30</v>
      </c>
    </row>
    <row r="329" spans="1:3" x14ac:dyDescent="0.2">
      <c r="A329" s="2">
        <v>1200</v>
      </c>
      <c r="B329" s="2">
        <v>20</v>
      </c>
      <c r="C329" s="2">
        <v>200</v>
      </c>
    </row>
    <row r="330" spans="1:3" x14ac:dyDescent="0.2">
      <c r="A330" s="2">
        <v>3000</v>
      </c>
      <c r="B330" s="2">
        <v>100</v>
      </c>
      <c r="C330" s="2">
        <v>40</v>
      </c>
    </row>
    <row r="331" spans="1:3" x14ac:dyDescent="0.2">
      <c r="A331" s="2">
        <v>1100</v>
      </c>
      <c r="B331" s="2">
        <v>300</v>
      </c>
      <c r="C331" s="2">
        <v>20</v>
      </c>
    </row>
    <row r="332" spans="1:3" x14ac:dyDescent="0.2">
      <c r="A332" s="2">
        <v>800</v>
      </c>
      <c r="B332" s="2">
        <v>230</v>
      </c>
      <c r="C332" s="2">
        <v>300</v>
      </c>
    </row>
    <row r="333" spans="1:3" x14ac:dyDescent="0.2">
      <c r="A333" s="2">
        <v>1350</v>
      </c>
      <c r="B333" s="2">
        <v>300</v>
      </c>
      <c r="C333" s="2">
        <v>30</v>
      </c>
    </row>
    <row r="334" spans="1:3" x14ac:dyDescent="0.2">
      <c r="A334" s="4">
        <v>2750</v>
      </c>
      <c r="B334" s="2">
        <v>30</v>
      </c>
      <c r="C334" s="2">
        <v>30</v>
      </c>
    </row>
    <row r="335" spans="1:3" x14ac:dyDescent="0.2">
      <c r="A335" s="2">
        <v>1300</v>
      </c>
      <c r="B335" s="2">
        <v>10</v>
      </c>
      <c r="C335" s="2">
        <v>100</v>
      </c>
    </row>
    <row r="336" spans="1:3" x14ac:dyDescent="0.2">
      <c r="A336" s="2">
        <v>750</v>
      </c>
      <c r="B336" s="2">
        <v>600</v>
      </c>
      <c r="C336" s="2">
        <v>350</v>
      </c>
    </row>
    <row r="337" spans="1:3" x14ac:dyDescent="0.2">
      <c r="A337" s="2">
        <v>1700</v>
      </c>
      <c r="B337" s="2">
        <v>1000</v>
      </c>
      <c r="C337" s="2">
        <v>25</v>
      </c>
    </row>
    <row r="338" spans="1:3" x14ac:dyDescent="0.2">
      <c r="A338" s="2">
        <v>2000</v>
      </c>
      <c r="B338" s="2">
        <v>25</v>
      </c>
      <c r="C338" s="2">
        <v>50</v>
      </c>
    </row>
    <row r="339" spans="1:3" x14ac:dyDescent="0.2">
      <c r="A339" s="2">
        <v>3000</v>
      </c>
      <c r="B339" s="2">
        <v>500</v>
      </c>
      <c r="C339" s="2">
        <v>100</v>
      </c>
    </row>
    <row r="340" spans="1:3" x14ac:dyDescent="0.2">
      <c r="A340" s="2">
        <v>1500</v>
      </c>
      <c r="B340" s="2">
        <v>160</v>
      </c>
      <c r="C340" s="2">
        <v>15</v>
      </c>
    </row>
    <row r="341" spans="1:3" x14ac:dyDescent="0.2">
      <c r="A341" s="2">
        <v>650</v>
      </c>
      <c r="B341" s="2">
        <v>30</v>
      </c>
      <c r="C341" s="2">
        <v>250</v>
      </c>
    </row>
    <row r="342" spans="1:3" x14ac:dyDescent="0.2">
      <c r="A342" s="2">
        <v>1300</v>
      </c>
      <c r="B342" s="2">
        <v>600</v>
      </c>
      <c r="C342" s="2">
        <v>200</v>
      </c>
    </row>
    <row r="343" spans="1:3" x14ac:dyDescent="0.2">
      <c r="A343" s="2">
        <v>1500</v>
      </c>
      <c r="B343" s="2">
        <v>30</v>
      </c>
      <c r="C343" s="2">
        <v>50</v>
      </c>
    </row>
    <row r="344" spans="1:3" x14ac:dyDescent="0.2">
      <c r="A344" s="2">
        <v>1500</v>
      </c>
      <c r="B344" s="2">
        <v>15</v>
      </c>
      <c r="C344" s="2">
        <v>25</v>
      </c>
    </row>
    <row r="345" spans="1:3" x14ac:dyDescent="0.2">
      <c r="A345" s="2">
        <v>800</v>
      </c>
      <c r="B345" s="2">
        <v>200</v>
      </c>
      <c r="C345" s="2">
        <v>100</v>
      </c>
    </row>
    <row r="346" spans="1:3" x14ac:dyDescent="0.2">
      <c r="A346" s="2">
        <v>1000</v>
      </c>
      <c r="B346" s="2">
        <v>200</v>
      </c>
      <c r="C346" s="2">
        <v>70</v>
      </c>
    </row>
    <row r="347" spans="1:3" x14ac:dyDescent="0.2">
      <c r="A347" s="2">
        <v>1800</v>
      </c>
      <c r="B347" s="2">
        <v>600</v>
      </c>
      <c r="C347" s="2">
        <v>30</v>
      </c>
    </row>
    <row r="348" spans="1:3" x14ac:dyDescent="0.2">
      <c r="A348" s="2">
        <v>1000</v>
      </c>
      <c r="B348" s="2">
        <v>8</v>
      </c>
      <c r="C348" s="2">
        <v>100</v>
      </c>
    </row>
    <row r="349" spans="1:3" x14ac:dyDescent="0.2">
      <c r="A349" s="4">
        <v>1300</v>
      </c>
      <c r="B349" s="2">
        <v>150</v>
      </c>
      <c r="C349" s="2">
        <v>100</v>
      </c>
    </row>
    <row r="350" spans="1:3" x14ac:dyDescent="0.2">
      <c r="A350" s="2">
        <v>1500</v>
      </c>
      <c r="B350" s="2">
        <v>300</v>
      </c>
      <c r="C350" s="2">
        <v>200</v>
      </c>
    </row>
    <row r="351" spans="1:3" x14ac:dyDescent="0.2">
      <c r="A351" s="2">
        <v>900</v>
      </c>
      <c r="B351" s="2">
        <v>50</v>
      </c>
      <c r="C351" s="2">
        <v>15</v>
      </c>
    </row>
    <row r="352" spans="1:3" x14ac:dyDescent="0.2">
      <c r="A352" s="2">
        <v>1500</v>
      </c>
      <c r="B352" s="2">
        <v>25</v>
      </c>
      <c r="C352" s="2">
        <v>200</v>
      </c>
    </row>
    <row r="353" spans="1:3" x14ac:dyDescent="0.2">
      <c r="A353" s="2">
        <v>1200</v>
      </c>
      <c r="B353" s="2">
        <v>300</v>
      </c>
      <c r="C353" s="2">
        <v>200</v>
      </c>
    </row>
    <row r="354" spans="1:3" x14ac:dyDescent="0.2">
      <c r="A354" s="2">
        <v>4000</v>
      </c>
      <c r="B354" s="2">
        <v>120</v>
      </c>
      <c r="C354" s="2">
        <v>100</v>
      </c>
    </row>
    <row r="355" spans="1:3" x14ac:dyDescent="0.2">
      <c r="A355" s="2">
        <v>1250</v>
      </c>
      <c r="B355" s="2">
        <v>25</v>
      </c>
      <c r="C355" s="2">
        <v>500</v>
      </c>
    </row>
    <row r="356" spans="1:3" x14ac:dyDescent="0.2">
      <c r="A356" s="4">
        <v>2000</v>
      </c>
      <c r="B356" s="2">
        <v>150</v>
      </c>
      <c r="C356" s="2">
        <v>20</v>
      </c>
    </row>
    <row r="357" spans="1:3" x14ac:dyDescent="0.2">
      <c r="A357" s="2">
        <v>1300</v>
      </c>
      <c r="B357" s="2">
        <v>25</v>
      </c>
      <c r="C357" s="2">
        <v>150</v>
      </c>
    </row>
    <row r="358" spans="1:3" x14ac:dyDescent="0.2">
      <c r="A358" s="4">
        <v>1000</v>
      </c>
      <c r="B358" s="2">
        <v>15</v>
      </c>
      <c r="C358" s="2">
        <v>50</v>
      </c>
    </row>
    <row r="359" spans="1:3" x14ac:dyDescent="0.2">
      <c r="A359" s="2">
        <v>1500</v>
      </c>
      <c r="B359" s="2">
        <v>300</v>
      </c>
      <c r="C359" s="2">
        <v>50</v>
      </c>
    </row>
    <row r="360" spans="1:3" x14ac:dyDescent="0.2">
      <c r="A360" s="2">
        <v>800</v>
      </c>
      <c r="B360" s="2">
        <v>350</v>
      </c>
      <c r="C360" s="2">
        <v>100</v>
      </c>
    </row>
    <row r="361" spans="1:3" x14ac:dyDescent="0.2">
      <c r="A361" s="2">
        <v>1400</v>
      </c>
      <c r="B361" s="2">
        <v>200</v>
      </c>
      <c r="C361" s="2">
        <v>100</v>
      </c>
    </row>
    <row r="362" spans="1:3" x14ac:dyDescent="0.2">
      <c r="A362" s="4">
        <v>2000</v>
      </c>
      <c r="B362" s="2">
        <v>20</v>
      </c>
      <c r="C362" s="2">
        <v>30</v>
      </c>
    </row>
    <row r="363" spans="1:3" x14ac:dyDescent="0.2">
      <c r="A363" s="2">
        <v>1200</v>
      </c>
      <c r="B363" s="2">
        <v>500</v>
      </c>
      <c r="C363" s="2">
        <v>200</v>
      </c>
    </row>
    <row r="364" spans="1:3" x14ac:dyDescent="0.2">
      <c r="A364" s="2">
        <v>1200</v>
      </c>
      <c r="B364" s="2">
        <v>50</v>
      </c>
      <c r="C364" s="2">
        <v>150</v>
      </c>
    </row>
    <row r="365" spans="1:3" x14ac:dyDescent="0.2">
      <c r="A365" s="2">
        <v>1000</v>
      </c>
      <c r="B365" s="2">
        <v>700</v>
      </c>
      <c r="C365" s="2">
        <v>100</v>
      </c>
    </row>
    <row r="366" spans="1:3" x14ac:dyDescent="0.2">
      <c r="A366" s="2">
        <v>800</v>
      </c>
      <c r="B366" s="2">
        <v>100</v>
      </c>
      <c r="C366" s="2">
        <v>20</v>
      </c>
    </row>
    <row r="367" spans="1:3" x14ac:dyDescent="0.2">
      <c r="A367" s="2">
        <v>4000</v>
      </c>
      <c r="B367" s="2">
        <v>50</v>
      </c>
      <c r="C367" s="2">
        <v>1500</v>
      </c>
    </row>
    <row r="368" spans="1:3" x14ac:dyDescent="0.2">
      <c r="A368" s="2">
        <v>1400</v>
      </c>
      <c r="B368" s="2">
        <v>300</v>
      </c>
      <c r="C368" s="2">
        <v>100</v>
      </c>
    </row>
    <row r="369" spans="1:3" x14ac:dyDescent="0.2">
      <c r="A369" s="2">
        <v>2000</v>
      </c>
      <c r="B369" s="2">
        <v>500</v>
      </c>
      <c r="C369" s="2">
        <v>60</v>
      </c>
    </row>
    <row r="370" spans="1:3" x14ac:dyDescent="0.2">
      <c r="A370" s="2">
        <v>1200</v>
      </c>
      <c r="B370" s="2">
        <v>350</v>
      </c>
      <c r="C370" s="2">
        <v>40</v>
      </c>
    </row>
    <row r="371" spans="1:3" x14ac:dyDescent="0.2">
      <c r="A371" s="2">
        <v>1200</v>
      </c>
      <c r="B371" s="2">
        <v>500</v>
      </c>
      <c r="C371" s="2">
        <v>100</v>
      </c>
    </row>
    <row r="372" spans="1:3" x14ac:dyDescent="0.2">
      <c r="A372" s="4">
        <v>1200</v>
      </c>
      <c r="B372" s="2">
        <v>500</v>
      </c>
      <c r="C372" s="2">
        <v>200</v>
      </c>
    </row>
    <row r="373" spans="1:3" x14ac:dyDescent="0.2">
      <c r="A373" s="2">
        <v>1500</v>
      </c>
      <c r="B373" s="2">
        <v>30</v>
      </c>
      <c r="C373" s="2">
        <v>20</v>
      </c>
    </row>
    <row r="374" spans="1:3" x14ac:dyDescent="0.2">
      <c r="A374" s="2">
        <v>1500</v>
      </c>
      <c r="B374" s="2">
        <v>40</v>
      </c>
      <c r="C374" s="2">
        <v>150</v>
      </c>
    </row>
    <row r="375" spans="1:3" x14ac:dyDescent="0.2">
      <c r="A375" s="2">
        <v>1500</v>
      </c>
      <c r="B375" s="2">
        <v>300</v>
      </c>
      <c r="C375" s="2">
        <v>50</v>
      </c>
    </row>
    <row r="376" spans="1:3" x14ac:dyDescent="0.2">
      <c r="A376" s="2">
        <v>1200</v>
      </c>
      <c r="B376" s="2">
        <v>500</v>
      </c>
      <c r="C376" s="2">
        <v>250</v>
      </c>
    </row>
    <row r="377" spans="1:3" x14ac:dyDescent="0.2">
      <c r="A377" s="2">
        <v>2000</v>
      </c>
      <c r="B377" s="2">
        <v>200</v>
      </c>
      <c r="C377" s="2">
        <v>15</v>
      </c>
    </row>
    <row r="378" spans="1:3" x14ac:dyDescent="0.2">
      <c r="A378" s="2">
        <v>1200</v>
      </c>
      <c r="B378" s="2">
        <v>200</v>
      </c>
      <c r="C378" s="2">
        <v>15</v>
      </c>
    </row>
    <row r="379" spans="1:3" x14ac:dyDescent="0.2">
      <c r="A379" s="2">
        <v>1000</v>
      </c>
      <c r="B379" s="2">
        <v>300</v>
      </c>
      <c r="C379" s="2">
        <v>15</v>
      </c>
    </row>
    <row r="380" spans="1:3" x14ac:dyDescent="0.2">
      <c r="A380" s="2">
        <v>1500</v>
      </c>
      <c r="B380" s="2">
        <v>120</v>
      </c>
      <c r="C380" s="2">
        <v>2000</v>
      </c>
    </row>
    <row r="381" spans="1:3" x14ac:dyDescent="0.2">
      <c r="A381" s="2">
        <v>1400</v>
      </c>
      <c r="B381" s="2">
        <v>150</v>
      </c>
      <c r="C381" s="2">
        <v>100</v>
      </c>
    </row>
    <row r="382" spans="1:3" x14ac:dyDescent="0.2">
      <c r="A382" s="2">
        <v>900</v>
      </c>
      <c r="B382" s="2">
        <v>400</v>
      </c>
      <c r="C382" s="2">
        <v>30</v>
      </c>
    </row>
    <row r="383" spans="1:3" x14ac:dyDescent="0.2">
      <c r="A383" s="2">
        <v>900</v>
      </c>
      <c r="B383" s="2">
        <v>450</v>
      </c>
      <c r="C383" s="2">
        <v>20</v>
      </c>
    </row>
    <row r="384" spans="1:3" x14ac:dyDescent="0.2">
      <c r="A384" s="2">
        <v>1200</v>
      </c>
      <c r="B384" s="2">
        <v>20</v>
      </c>
      <c r="C384" s="2">
        <v>400</v>
      </c>
    </row>
    <row r="385" spans="1:3" x14ac:dyDescent="0.2">
      <c r="A385" s="2">
        <v>1200</v>
      </c>
      <c r="B385" s="2">
        <v>300</v>
      </c>
      <c r="C385" s="2">
        <v>100</v>
      </c>
    </row>
    <row r="386" spans="1:3" x14ac:dyDescent="0.2">
      <c r="A386" s="2">
        <v>2500</v>
      </c>
      <c r="B386" s="2">
        <v>30</v>
      </c>
      <c r="C386" s="2">
        <v>200</v>
      </c>
    </row>
    <row r="387" spans="1:3" x14ac:dyDescent="0.2">
      <c r="A387" s="2">
        <v>1000</v>
      </c>
      <c r="B387" s="2">
        <v>400</v>
      </c>
      <c r="C387" s="2">
        <v>40</v>
      </c>
    </row>
    <row r="388" spans="1:3" x14ac:dyDescent="0.2">
      <c r="A388" s="2">
        <v>1100</v>
      </c>
      <c r="B388" s="2">
        <v>25</v>
      </c>
      <c r="C388" s="2">
        <v>200</v>
      </c>
    </row>
    <row r="389" spans="1:3" x14ac:dyDescent="0.2">
      <c r="A389" s="2">
        <v>1100</v>
      </c>
      <c r="B389" s="2">
        <v>20</v>
      </c>
      <c r="C389" s="2">
        <v>20</v>
      </c>
    </row>
    <row r="390" spans="1:3" x14ac:dyDescent="0.2">
      <c r="A390" s="2">
        <v>1200</v>
      </c>
      <c r="B390" s="2">
        <v>25</v>
      </c>
      <c r="C390" s="2">
        <v>70</v>
      </c>
    </row>
    <row r="391" spans="1:3" x14ac:dyDescent="0.2">
      <c r="A391" s="2">
        <v>1200</v>
      </c>
      <c r="B391" s="2">
        <v>600</v>
      </c>
      <c r="C391" s="2">
        <v>200</v>
      </c>
    </row>
    <row r="392" spans="1:3" x14ac:dyDescent="0.2">
      <c r="A392" s="2">
        <v>1100</v>
      </c>
      <c r="B392" s="2">
        <v>500</v>
      </c>
      <c r="C392" s="2">
        <v>500</v>
      </c>
    </row>
    <row r="393" spans="1:3" x14ac:dyDescent="0.2">
      <c r="A393" s="2">
        <v>1200</v>
      </c>
      <c r="B393" s="2">
        <v>200</v>
      </c>
      <c r="C393" s="2">
        <v>15</v>
      </c>
    </row>
    <row r="394" spans="1:3" x14ac:dyDescent="0.2">
      <c r="A394" s="2">
        <v>2500</v>
      </c>
      <c r="B394" s="2">
        <v>12.5</v>
      </c>
      <c r="C394" s="2">
        <v>150</v>
      </c>
    </row>
    <row r="395" spans="1:3" x14ac:dyDescent="0.2">
      <c r="A395" s="4">
        <v>3000</v>
      </c>
      <c r="B395" s="2">
        <v>25</v>
      </c>
      <c r="C395" s="2">
        <v>150</v>
      </c>
    </row>
    <row r="396" spans="1:3" x14ac:dyDescent="0.2">
      <c r="A396" s="2">
        <v>1200</v>
      </c>
      <c r="B396" s="2">
        <v>20</v>
      </c>
      <c r="C396" s="2">
        <v>10</v>
      </c>
    </row>
    <row r="397" spans="1:3" x14ac:dyDescent="0.2">
      <c r="A397" s="4">
        <v>1000</v>
      </c>
      <c r="B397" s="2">
        <v>500</v>
      </c>
      <c r="C397" s="2">
        <v>40</v>
      </c>
    </row>
    <row r="398" spans="1:3" x14ac:dyDescent="0.2">
      <c r="A398" s="2">
        <v>1000</v>
      </c>
      <c r="B398" s="2">
        <v>250</v>
      </c>
      <c r="C398" s="2">
        <v>20</v>
      </c>
    </row>
    <row r="399" spans="1:3" x14ac:dyDescent="0.2">
      <c r="A399" s="2">
        <v>1200</v>
      </c>
      <c r="B399" s="2">
        <v>500</v>
      </c>
      <c r="C399" s="2">
        <v>75</v>
      </c>
    </row>
    <row r="400" spans="1:3" x14ac:dyDescent="0.2">
      <c r="A400" s="2">
        <v>1000</v>
      </c>
      <c r="B400" s="2">
        <v>200</v>
      </c>
      <c r="C400" s="2">
        <v>50</v>
      </c>
    </row>
    <row r="401" spans="1:3" x14ac:dyDescent="0.2">
      <c r="A401" s="2">
        <v>1200</v>
      </c>
      <c r="B401" s="2">
        <v>300</v>
      </c>
      <c r="C401" s="2">
        <v>20</v>
      </c>
    </row>
    <row r="402" spans="1:3" x14ac:dyDescent="0.2">
      <c r="A402" s="4">
        <v>1500</v>
      </c>
      <c r="B402" s="2">
        <v>300</v>
      </c>
    </row>
    <row r="403" spans="1:3" x14ac:dyDescent="0.2">
      <c r="A403" s="2">
        <v>500</v>
      </c>
      <c r="B403" s="2">
        <v>1000</v>
      </c>
    </row>
    <row r="404" spans="1:3" x14ac:dyDescent="0.2">
      <c r="A404" s="2">
        <v>1100</v>
      </c>
      <c r="B404" s="2">
        <v>20</v>
      </c>
    </row>
    <row r="405" spans="1:3" x14ac:dyDescent="0.2">
      <c r="A405" s="2">
        <v>900</v>
      </c>
      <c r="B405" s="2">
        <v>320</v>
      </c>
    </row>
    <row r="406" spans="1:3" x14ac:dyDescent="0.2">
      <c r="A406" s="2">
        <v>5000</v>
      </c>
      <c r="B406" s="2">
        <v>320</v>
      </c>
    </row>
    <row r="407" spans="1:3" x14ac:dyDescent="0.2">
      <c r="A407" s="2">
        <v>1000</v>
      </c>
      <c r="B407" s="2">
        <v>15</v>
      </c>
    </row>
    <row r="408" spans="1:3" x14ac:dyDescent="0.2">
      <c r="A408" s="2">
        <v>2500</v>
      </c>
      <c r="B408" s="2">
        <v>20</v>
      </c>
    </row>
    <row r="409" spans="1:3" x14ac:dyDescent="0.2">
      <c r="A409" s="2">
        <v>2500</v>
      </c>
      <c r="B409" s="2">
        <v>200</v>
      </c>
    </row>
    <row r="410" spans="1:3" x14ac:dyDescent="0.2">
      <c r="A410" s="2">
        <v>1300</v>
      </c>
      <c r="B410" s="2">
        <v>100</v>
      </c>
    </row>
    <row r="411" spans="1:3" x14ac:dyDescent="0.2">
      <c r="A411" s="2">
        <v>1300</v>
      </c>
      <c r="B411" s="2">
        <v>500</v>
      </c>
    </row>
    <row r="412" spans="1:3" x14ac:dyDescent="0.2">
      <c r="A412" s="2">
        <v>1500</v>
      </c>
      <c r="B412" s="2">
        <v>50</v>
      </c>
    </row>
    <row r="413" spans="1:3" x14ac:dyDescent="0.2">
      <c r="A413" s="2">
        <v>900</v>
      </c>
    </row>
    <row r="414" spans="1:3" x14ac:dyDescent="0.2">
      <c r="A414" s="2">
        <v>1400</v>
      </c>
    </row>
    <row r="415" spans="1:3" x14ac:dyDescent="0.2">
      <c r="A415" s="2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B0F0C-3FA7-B349-8D52-2170E1FF1310}">
  <dimension ref="A1:A222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s="2" t="s">
        <v>0</v>
      </c>
    </row>
    <row r="2" spans="1:1" x14ac:dyDescent="0.2">
      <c r="A2" s="2">
        <v>1200</v>
      </c>
    </row>
    <row r="3" spans="1:1" x14ac:dyDescent="0.2">
      <c r="A3" s="2">
        <v>1200</v>
      </c>
    </row>
    <row r="4" spans="1:1" x14ac:dyDescent="0.2">
      <c r="A4" s="2">
        <v>1200</v>
      </c>
    </row>
    <row r="5" spans="1:1" x14ac:dyDescent="0.2">
      <c r="A5" s="2">
        <v>1200</v>
      </c>
    </row>
    <row r="6" spans="1:1" x14ac:dyDescent="0.2">
      <c r="A6" s="2">
        <v>1200</v>
      </c>
    </row>
    <row r="7" spans="1:1" x14ac:dyDescent="0.2">
      <c r="A7" s="2">
        <v>1200</v>
      </c>
    </row>
    <row r="8" spans="1:1" x14ac:dyDescent="0.2">
      <c r="A8" s="2">
        <v>1200</v>
      </c>
    </row>
    <row r="9" spans="1:1" x14ac:dyDescent="0.2">
      <c r="A9" s="2">
        <v>1200</v>
      </c>
    </row>
    <row r="10" spans="1:1" x14ac:dyDescent="0.2">
      <c r="A10" s="2">
        <v>1200</v>
      </c>
    </row>
    <row r="11" spans="1:1" x14ac:dyDescent="0.2">
      <c r="A11" s="2">
        <v>1200</v>
      </c>
    </row>
    <row r="12" spans="1:1" x14ac:dyDescent="0.2">
      <c r="A12" s="2">
        <v>1200</v>
      </c>
    </row>
    <row r="13" spans="1:1" x14ac:dyDescent="0.2">
      <c r="A13" s="2">
        <v>1200</v>
      </c>
    </row>
    <row r="14" spans="1:1" x14ac:dyDescent="0.2">
      <c r="A14" s="2">
        <v>1200</v>
      </c>
    </row>
    <row r="15" spans="1:1" x14ac:dyDescent="0.2">
      <c r="A15" s="2">
        <v>1200</v>
      </c>
    </row>
    <row r="16" spans="1:1" x14ac:dyDescent="0.2">
      <c r="A16" s="2">
        <v>1200</v>
      </c>
    </row>
    <row r="17" spans="1:1" x14ac:dyDescent="0.2">
      <c r="A17" s="2">
        <v>1200</v>
      </c>
    </row>
    <row r="18" spans="1:1" x14ac:dyDescent="0.2">
      <c r="A18" s="2">
        <v>1200</v>
      </c>
    </row>
    <row r="19" spans="1:1" x14ac:dyDescent="0.2">
      <c r="A19" s="2">
        <v>1200</v>
      </c>
    </row>
    <row r="20" spans="1:1" x14ac:dyDescent="0.2">
      <c r="A20" s="2">
        <v>1200</v>
      </c>
    </row>
    <row r="21" spans="1:1" x14ac:dyDescent="0.2">
      <c r="A21" s="2">
        <v>1200</v>
      </c>
    </row>
    <row r="22" spans="1:1" x14ac:dyDescent="0.2">
      <c r="A22" s="2">
        <v>1200</v>
      </c>
    </row>
    <row r="23" spans="1:1" x14ac:dyDescent="0.2">
      <c r="A23" s="2">
        <v>1200</v>
      </c>
    </row>
    <row r="24" spans="1:1" x14ac:dyDescent="0.2">
      <c r="A24" s="2">
        <v>1200</v>
      </c>
    </row>
    <row r="25" spans="1:1" x14ac:dyDescent="0.2">
      <c r="A25" s="2">
        <v>1200</v>
      </c>
    </row>
    <row r="26" spans="1:1" x14ac:dyDescent="0.2">
      <c r="A26" s="2">
        <v>1200</v>
      </c>
    </row>
    <row r="27" spans="1:1" x14ac:dyDescent="0.2">
      <c r="A27" s="2">
        <v>1200</v>
      </c>
    </row>
    <row r="28" spans="1:1" x14ac:dyDescent="0.2">
      <c r="A28" s="2">
        <v>1200</v>
      </c>
    </row>
    <row r="29" spans="1:1" x14ac:dyDescent="0.2">
      <c r="A29" s="2">
        <v>1200</v>
      </c>
    </row>
    <row r="30" spans="1:1" x14ac:dyDescent="0.2">
      <c r="A30" s="2">
        <v>1200</v>
      </c>
    </row>
    <row r="31" spans="1:1" x14ac:dyDescent="0.2">
      <c r="A31" s="2">
        <v>1200</v>
      </c>
    </row>
    <row r="32" spans="1:1" x14ac:dyDescent="0.2">
      <c r="A32" s="2">
        <v>1200</v>
      </c>
    </row>
    <row r="33" spans="1:1" x14ac:dyDescent="0.2">
      <c r="A33" s="2">
        <v>1200</v>
      </c>
    </row>
    <row r="34" spans="1:1" x14ac:dyDescent="0.2">
      <c r="A34" s="2">
        <v>1200</v>
      </c>
    </row>
    <row r="35" spans="1:1" x14ac:dyDescent="0.2">
      <c r="A35" s="2">
        <v>1200</v>
      </c>
    </row>
    <row r="36" spans="1:1" x14ac:dyDescent="0.2">
      <c r="A36" s="2">
        <v>1200</v>
      </c>
    </row>
    <row r="37" spans="1:1" x14ac:dyDescent="0.2">
      <c r="A37" s="2">
        <v>1200</v>
      </c>
    </row>
    <row r="38" spans="1:1" x14ac:dyDescent="0.2">
      <c r="A38" s="2">
        <v>1200</v>
      </c>
    </row>
    <row r="39" spans="1:1" x14ac:dyDescent="0.2">
      <c r="A39" s="2">
        <v>1200</v>
      </c>
    </row>
    <row r="40" spans="1:1" x14ac:dyDescent="0.2">
      <c r="A40" s="2">
        <v>1200</v>
      </c>
    </row>
    <row r="41" spans="1:1" x14ac:dyDescent="0.2">
      <c r="A41" s="2">
        <v>1200</v>
      </c>
    </row>
    <row r="42" spans="1:1" x14ac:dyDescent="0.2">
      <c r="A42" s="2">
        <v>1200</v>
      </c>
    </row>
    <row r="43" spans="1:1" x14ac:dyDescent="0.2">
      <c r="A43" s="2">
        <v>1200</v>
      </c>
    </row>
    <row r="44" spans="1:1" x14ac:dyDescent="0.2">
      <c r="A44" s="2">
        <v>1200</v>
      </c>
    </row>
    <row r="45" spans="1:1" x14ac:dyDescent="0.2">
      <c r="A45" s="2">
        <v>1200</v>
      </c>
    </row>
    <row r="46" spans="1:1" x14ac:dyDescent="0.2">
      <c r="A46" s="2">
        <v>1200</v>
      </c>
    </row>
    <row r="47" spans="1:1" x14ac:dyDescent="0.2">
      <c r="A47" s="2">
        <v>1200</v>
      </c>
    </row>
    <row r="48" spans="1:1" x14ac:dyDescent="0.2">
      <c r="A48" s="2">
        <v>1200</v>
      </c>
    </row>
    <row r="49" spans="1:1" x14ac:dyDescent="0.2">
      <c r="A49" s="2">
        <v>1200</v>
      </c>
    </row>
    <row r="50" spans="1:1" x14ac:dyDescent="0.2">
      <c r="A50" s="4">
        <v>1200</v>
      </c>
    </row>
    <row r="51" spans="1:1" x14ac:dyDescent="0.2">
      <c r="A51" s="2">
        <v>1200</v>
      </c>
    </row>
    <row r="52" spans="1:1" x14ac:dyDescent="0.2">
      <c r="A52" s="2">
        <v>1200</v>
      </c>
    </row>
    <row r="53" spans="1:1" x14ac:dyDescent="0.2">
      <c r="A53" s="2">
        <v>1200</v>
      </c>
    </row>
    <row r="54" spans="1:1" x14ac:dyDescent="0.2">
      <c r="A54" s="2">
        <v>1200</v>
      </c>
    </row>
    <row r="55" spans="1:1" x14ac:dyDescent="0.2">
      <c r="A55" s="2">
        <v>1200</v>
      </c>
    </row>
    <row r="56" spans="1:1" x14ac:dyDescent="0.2">
      <c r="A56" s="2">
        <v>1200</v>
      </c>
    </row>
    <row r="57" spans="1:1" x14ac:dyDescent="0.2">
      <c r="A57" s="2">
        <v>1200</v>
      </c>
    </row>
    <row r="58" spans="1:1" x14ac:dyDescent="0.2">
      <c r="A58" s="2">
        <v>1200</v>
      </c>
    </row>
    <row r="59" spans="1:1" x14ac:dyDescent="0.2">
      <c r="A59" s="2">
        <v>1200</v>
      </c>
    </row>
    <row r="60" spans="1:1" x14ac:dyDescent="0.2">
      <c r="A60" s="2">
        <v>1200</v>
      </c>
    </row>
    <row r="61" spans="1:1" x14ac:dyDescent="0.2">
      <c r="A61" s="2">
        <v>1200</v>
      </c>
    </row>
    <row r="62" spans="1:1" x14ac:dyDescent="0.2">
      <c r="A62" s="4">
        <v>1150</v>
      </c>
    </row>
    <row r="63" spans="1:1" x14ac:dyDescent="0.2">
      <c r="A63" s="2">
        <v>1100</v>
      </c>
    </row>
    <row r="64" spans="1:1" x14ac:dyDescent="0.2">
      <c r="A64" s="2">
        <v>1100</v>
      </c>
    </row>
    <row r="65" spans="1:1" x14ac:dyDescent="0.2">
      <c r="A65" s="2">
        <v>1100</v>
      </c>
    </row>
    <row r="66" spans="1:1" x14ac:dyDescent="0.2">
      <c r="A66" s="2">
        <v>1100</v>
      </c>
    </row>
    <row r="67" spans="1:1" x14ac:dyDescent="0.2">
      <c r="A67" s="2">
        <v>1100</v>
      </c>
    </row>
    <row r="68" spans="1:1" x14ac:dyDescent="0.2">
      <c r="A68" s="4">
        <v>1100</v>
      </c>
    </row>
    <row r="69" spans="1:1" x14ac:dyDescent="0.2">
      <c r="A69" s="4">
        <v>1100</v>
      </c>
    </row>
    <row r="70" spans="1:1" x14ac:dyDescent="0.2">
      <c r="A70" s="2">
        <v>1100</v>
      </c>
    </row>
    <row r="71" spans="1:1" x14ac:dyDescent="0.2">
      <c r="A71" s="2">
        <v>1100</v>
      </c>
    </row>
    <row r="72" spans="1:1" x14ac:dyDescent="0.2">
      <c r="A72" s="2">
        <v>1100</v>
      </c>
    </row>
    <row r="73" spans="1:1" x14ac:dyDescent="0.2">
      <c r="A73" s="2">
        <v>1100</v>
      </c>
    </row>
    <row r="74" spans="1:1" x14ac:dyDescent="0.2">
      <c r="A74" s="2">
        <v>1100</v>
      </c>
    </row>
    <row r="75" spans="1:1" x14ac:dyDescent="0.2">
      <c r="A75" s="2">
        <v>1100</v>
      </c>
    </row>
    <row r="76" spans="1:1" x14ac:dyDescent="0.2">
      <c r="A76" s="2">
        <v>1100</v>
      </c>
    </row>
    <row r="77" spans="1:1" x14ac:dyDescent="0.2">
      <c r="A77" s="2">
        <v>1100</v>
      </c>
    </row>
    <row r="78" spans="1:1" x14ac:dyDescent="0.2">
      <c r="A78" s="2">
        <v>1100</v>
      </c>
    </row>
    <row r="79" spans="1:1" x14ac:dyDescent="0.2">
      <c r="A79" s="2">
        <v>1100</v>
      </c>
    </row>
    <row r="80" spans="1:1" x14ac:dyDescent="0.2">
      <c r="A80" s="2">
        <v>1100</v>
      </c>
    </row>
    <row r="81" spans="1:1" x14ac:dyDescent="0.2">
      <c r="A81" s="2">
        <v>1050</v>
      </c>
    </row>
    <row r="82" spans="1:1" x14ac:dyDescent="0.2">
      <c r="A82" s="2">
        <v>1020</v>
      </c>
    </row>
    <row r="83" spans="1:1" x14ac:dyDescent="0.2">
      <c r="A83" s="2">
        <v>1010</v>
      </c>
    </row>
    <row r="84" spans="1:1" x14ac:dyDescent="0.2">
      <c r="A84" s="2">
        <v>1000</v>
      </c>
    </row>
    <row r="85" spans="1:1" x14ac:dyDescent="0.2">
      <c r="A85" s="2">
        <v>1000</v>
      </c>
    </row>
    <row r="86" spans="1:1" x14ac:dyDescent="0.2">
      <c r="A86" s="2">
        <v>1000</v>
      </c>
    </row>
    <row r="87" spans="1:1" x14ac:dyDescent="0.2">
      <c r="A87" s="2">
        <v>1000</v>
      </c>
    </row>
    <row r="88" spans="1:1" x14ac:dyDescent="0.2">
      <c r="A88" s="2">
        <v>1000</v>
      </c>
    </row>
    <row r="89" spans="1:1" x14ac:dyDescent="0.2">
      <c r="A89" s="2">
        <v>1000</v>
      </c>
    </row>
    <row r="90" spans="1:1" x14ac:dyDescent="0.2">
      <c r="A90" s="4">
        <v>1000</v>
      </c>
    </row>
    <row r="91" spans="1:1" x14ac:dyDescent="0.2">
      <c r="A91" s="2">
        <v>1000</v>
      </c>
    </row>
    <row r="92" spans="1:1" x14ac:dyDescent="0.2">
      <c r="A92" s="2">
        <v>1000</v>
      </c>
    </row>
    <row r="93" spans="1:1" x14ac:dyDescent="0.2">
      <c r="A93" s="2">
        <v>1000</v>
      </c>
    </row>
    <row r="94" spans="1:1" x14ac:dyDescent="0.2">
      <c r="A94" s="2">
        <v>1000</v>
      </c>
    </row>
    <row r="95" spans="1:1" x14ac:dyDescent="0.2">
      <c r="A95" s="2">
        <v>1000</v>
      </c>
    </row>
    <row r="96" spans="1:1" x14ac:dyDescent="0.2">
      <c r="A96" s="2">
        <v>1000</v>
      </c>
    </row>
    <row r="97" spans="1:1" x14ac:dyDescent="0.2">
      <c r="A97" s="2">
        <v>1000</v>
      </c>
    </row>
    <row r="98" spans="1:1" x14ac:dyDescent="0.2">
      <c r="A98" s="2">
        <v>1000</v>
      </c>
    </row>
    <row r="99" spans="1:1" x14ac:dyDescent="0.2">
      <c r="A99" s="2">
        <v>1000</v>
      </c>
    </row>
    <row r="100" spans="1:1" x14ac:dyDescent="0.2">
      <c r="A100" s="2">
        <v>1000</v>
      </c>
    </row>
    <row r="101" spans="1:1" x14ac:dyDescent="0.2">
      <c r="A101" s="4">
        <v>1000</v>
      </c>
    </row>
    <row r="102" spans="1:1" x14ac:dyDescent="0.2">
      <c r="A102" s="2">
        <v>1000</v>
      </c>
    </row>
    <row r="103" spans="1:1" x14ac:dyDescent="0.2">
      <c r="A103" s="2">
        <v>1000</v>
      </c>
    </row>
    <row r="104" spans="1:1" x14ac:dyDescent="0.2">
      <c r="A104" s="2">
        <v>1000</v>
      </c>
    </row>
    <row r="105" spans="1:1" x14ac:dyDescent="0.2">
      <c r="A105" s="2">
        <v>1000</v>
      </c>
    </row>
    <row r="106" spans="1:1" x14ac:dyDescent="0.2">
      <c r="A106" s="2">
        <v>1000</v>
      </c>
    </row>
    <row r="107" spans="1:1" x14ac:dyDescent="0.2">
      <c r="A107" s="2">
        <v>1000</v>
      </c>
    </row>
    <row r="108" spans="1:1" x14ac:dyDescent="0.2">
      <c r="A108" s="2">
        <v>1000</v>
      </c>
    </row>
    <row r="109" spans="1:1" x14ac:dyDescent="0.2">
      <c r="A109" s="2">
        <v>1000</v>
      </c>
    </row>
    <row r="110" spans="1:1" x14ac:dyDescent="0.2">
      <c r="A110" s="2">
        <v>1000</v>
      </c>
    </row>
    <row r="111" spans="1:1" x14ac:dyDescent="0.2">
      <c r="A111" s="2">
        <v>1000</v>
      </c>
    </row>
    <row r="112" spans="1:1" x14ac:dyDescent="0.2">
      <c r="A112" s="2">
        <v>1000</v>
      </c>
    </row>
    <row r="113" spans="1:1" x14ac:dyDescent="0.2">
      <c r="A113" s="2">
        <v>1000</v>
      </c>
    </row>
    <row r="114" spans="1:1" x14ac:dyDescent="0.2">
      <c r="A114" s="4">
        <v>1000</v>
      </c>
    </row>
    <row r="115" spans="1:1" x14ac:dyDescent="0.2">
      <c r="A115" s="2">
        <v>1000</v>
      </c>
    </row>
    <row r="116" spans="1:1" x14ac:dyDescent="0.2">
      <c r="A116" s="4">
        <v>1000</v>
      </c>
    </row>
    <row r="117" spans="1:1" x14ac:dyDescent="0.2">
      <c r="A117" s="4">
        <v>1000</v>
      </c>
    </row>
    <row r="118" spans="1:1" x14ac:dyDescent="0.2">
      <c r="A118" s="2">
        <v>1000</v>
      </c>
    </row>
    <row r="119" spans="1:1" x14ac:dyDescent="0.2">
      <c r="A119" s="2">
        <v>1000</v>
      </c>
    </row>
    <row r="120" spans="1:1" x14ac:dyDescent="0.2">
      <c r="A120" s="2">
        <v>1000</v>
      </c>
    </row>
    <row r="121" spans="1:1" x14ac:dyDescent="0.2">
      <c r="A121" s="2">
        <v>1000</v>
      </c>
    </row>
    <row r="122" spans="1:1" x14ac:dyDescent="0.2">
      <c r="A122" s="2">
        <v>1000</v>
      </c>
    </row>
    <row r="123" spans="1:1" x14ac:dyDescent="0.2">
      <c r="A123" s="2">
        <v>1000</v>
      </c>
    </row>
    <row r="124" spans="1:1" x14ac:dyDescent="0.2">
      <c r="A124" s="2">
        <v>1000</v>
      </c>
    </row>
    <row r="125" spans="1:1" x14ac:dyDescent="0.2">
      <c r="A125" s="2">
        <v>1000</v>
      </c>
    </row>
    <row r="126" spans="1:1" x14ac:dyDescent="0.2">
      <c r="A126" s="2">
        <v>1000</v>
      </c>
    </row>
    <row r="127" spans="1:1" x14ac:dyDescent="0.2">
      <c r="A127" s="2">
        <v>1000</v>
      </c>
    </row>
    <row r="128" spans="1:1" x14ac:dyDescent="0.2">
      <c r="A128" s="2">
        <v>1000</v>
      </c>
    </row>
    <row r="129" spans="1:1" x14ac:dyDescent="0.2">
      <c r="A129" s="2">
        <v>1000</v>
      </c>
    </row>
    <row r="130" spans="1:1" x14ac:dyDescent="0.2">
      <c r="A130" s="2">
        <v>1000</v>
      </c>
    </row>
    <row r="131" spans="1:1" x14ac:dyDescent="0.2">
      <c r="A131" s="4">
        <v>1000</v>
      </c>
    </row>
    <row r="132" spans="1:1" x14ac:dyDescent="0.2">
      <c r="A132" s="2">
        <v>1000</v>
      </c>
    </row>
    <row r="133" spans="1:1" x14ac:dyDescent="0.2">
      <c r="A133" s="2">
        <v>1000</v>
      </c>
    </row>
    <row r="134" spans="1:1" x14ac:dyDescent="0.2">
      <c r="A134" s="2">
        <v>1000</v>
      </c>
    </row>
    <row r="135" spans="1:1" x14ac:dyDescent="0.2">
      <c r="A135" s="4">
        <v>1000</v>
      </c>
    </row>
    <row r="136" spans="1:1" x14ac:dyDescent="0.2">
      <c r="A136" s="2">
        <v>1000</v>
      </c>
    </row>
    <row r="137" spans="1:1" x14ac:dyDescent="0.2">
      <c r="A137" s="2">
        <v>1000</v>
      </c>
    </row>
    <row r="138" spans="1:1" x14ac:dyDescent="0.2">
      <c r="A138" s="2">
        <v>1000</v>
      </c>
    </row>
    <row r="139" spans="1:1" x14ac:dyDescent="0.2">
      <c r="A139" s="2">
        <v>950</v>
      </c>
    </row>
    <row r="140" spans="1:1" x14ac:dyDescent="0.2">
      <c r="A140" s="2">
        <v>950</v>
      </c>
    </row>
    <row r="141" spans="1:1" x14ac:dyDescent="0.2">
      <c r="A141" s="2">
        <v>950</v>
      </c>
    </row>
    <row r="142" spans="1:1" x14ac:dyDescent="0.2">
      <c r="A142" s="2">
        <v>900</v>
      </c>
    </row>
    <row r="143" spans="1:1" x14ac:dyDescent="0.2">
      <c r="A143" s="2">
        <v>900</v>
      </c>
    </row>
    <row r="144" spans="1:1" x14ac:dyDescent="0.2">
      <c r="A144" s="2">
        <v>900</v>
      </c>
    </row>
    <row r="145" spans="1:1" x14ac:dyDescent="0.2">
      <c r="A145" s="2">
        <v>900</v>
      </c>
    </row>
    <row r="146" spans="1:1" x14ac:dyDescent="0.2">
      <c r="A146" s="2">
        <v>900</v>
      </c>
    </row>
    <row r="147" spans="1:1" x14ac:dyDescent="0.2">
      <c r="A147" s="2">
        <v>900</v>
      </c>
    </row>
    <row r="148" spans="1:1" x14ac:dyDescent="0.2">
      <c r="A148" s="2">
        <v>900</v>
      </c>
    </row>
    <row r="149" spans="1:1" x14ac:dyDescent="0.2">
      <c r="A149" s="2">
        <v>900</v>
      </c>
    </row>
    <row r="150" spans="1:1" x14ac:dyDescent="0.2">
      <c r="A150" s="2">
        <v>900</v>
      </c>
    </row>
    <row r="151" spans="1:1" x14ac:dyDescent="0.2">
      <c r="A151" s="2">
        <v>900</v>
      </c>
    </row>
    <row r="152" spans="1:1" x14ac:dyDescent="0.2">
      <c r="A152" s="2">
        <v>900</v>
      </c>
    </row>
    <row r="153" spans="1:1" x14ac:dyDescent="0.2">
      <c r="A153" s="2">
        <v>900</v>
      </c>
    </row>
    <row r="154" spans="1:1" x14ac:dyDescent="0.2">
      <c r="A154" s="2">
        <v>900</v>
      </c>
    </row>
    <row r="155" spans="1:1" x14ac:dyDescent="0.2">
      <c r="A155" s="2">
        <v>900</v>
      </c>
    </row>
    <row r="156" spans="1:1" x14ac:dyDescent="0.2">
      <c r="A156" s="2">
        <v>900</v>
      </c>
    </row>
    <row r="157" spans="1:1" x14ac:dyDescent="0.2">
      <c r="A157" s="2">
        <v>900</v>
      </c>
    </row>
    <row r="158" spans="1:1" x14ac:dyDescent="0.2">
      <c r="A158" s="2">
        <v>900</v>
      </c>
    </row>
    <row r="159" spans="1:1" x14ac:dyDescent="0.2">
      <c r="A159" s="2">
        <v>900</v>
      </c>
    </row>
    <row r="160" spans="1:1" x14ac:dyDescent="0.2">
      <c r="A160" s="2">
        <v>900</v>
      </c>
    </row>
    <row r="161" spans="1:1" x14ac:dyDescent="0.2">
      <c r="A161" s="2">
        <v>850</v>
      </c>
    </row>
    <row r="162" spans="1:1" x14ac:dyDescent="0.2">
      <c r="A162" s="2">
        <v>850</v>
      </c>
    </row>
    <row r="163" spans="1:1" x14ac:dyDescent="0.2">
      <c r="A163" s="2">
        <v>850</v>
      </c>
    </row>
    <row r="164" spans="1:1" x14ac:dyDescent="0.2">
      <c r="A164" s="2">
        <v>850</v>
      </c>
    </row>
    <row r="165" spans="1:1" x14ac:dyDescent="0.2">
      <c r="A165" s="2">
        <v>850</v>
      </c>
    </row>
    <row r="166" spans="1:1" x14ac:dyDescent="0.2">
      <c r="A166" s="2">
        <v>800</v>
      </c>
    </row>
    <row r="167" spans="1:1" x14ac:dyDescent="0.2">
      <c r="A167" s="2">
        <v>800</v>
      </c>
    </row>
    <row r="168" spans="1:1" x14ac:dyDescent="0.2">
      <c r="A168" s="2">
        <v>800</v>
      </c>
    </row>
    <row r="169" spans="1:1" x14ac:dyDescent="0.2">
      <c r="A169" s="2">
        <v>800</v>
      </c>
    </row>
    <row r="170" spans="1:1" x14ac:dyDescent="0.2">
      <c r="A170" s="2">
        <v>800</v>
      </c>
    </row>
    <row r="171" spans="1:1" x14ac:dyDescent="0.2">
      <c r="A171" s="2">
        <v>800</v>
      </c>
    </row>
    <row r="172" spans="1:1" x14ac:dyDescent="0.2">
      <c r="A172" s="2">
        <v>800</v>
      </c>
    </row>
    <row r="173" spans="1:1" x14ac:dyDescent="0.2">
      <c r="A173" s="2">
        <v>800</v>
      </c>
    </row>
    <row r="174" spans="1:1" x14ac:dyDescent="0.2">
      <c r="A174" s="2">
        <v>800</v>
      </c>
    </row>
    <row r="175" spans="1:1" x14ac:dyDescent="0.2">
      <c r="A175" s="2">
        <v>800</v>
      </c>
    </row>
    <row r="176" spans="1:1" x14ac:dyDescent="0.2">
      <c r="A176" s="2">
        <v>800</v>
      </c>
    </row>
    <row r="177" spans="1:1" x14ac:dyDescent="0.2">
      <c r="A177" s="2">
        <v>800</v>
      </c>
    </row>
    <row r="178" spans="1:1" x14ac:dyDescent="0.2">
      <c r="A178" s="2">
        <v>800</v>
      </c>
    </row>
    <row r="179" spans="1:1" x14ac:dyDescent="0.2">
      <c r="A179" s="2">
        <v>800</v>
      </c>
    </row>
    <row r="180" spans="1:1" x14ac:dyDescent="0.2">
      <c r="A180" s="2">
        <v>800</v>
      </c>
    </row>
    <row r="181" spans="1:1" x14ac:dyDescent="0.2">
      <c r="A181" s="2">
        <v>800</v>
      </c>
    </row>
    <row r="182" spans="1:1" x14ac:dyDescent="0.2">
      <c r="A182" s="2">
        <v>800</v>
      </c>
    </row>
    <row r="183" spans="1:1" x14ac:dyDescent="0.2">
      <c r="A183" s="2">
        <v>800</v>
      </c>
    </row>
    <row r="184" spans="1:1" x14ac:dyDescent="0.2">
      <c r="A184" s="2">
        <v>800</v>
      </c>
    </row>
    <row r="185" spans="1:1" x14ac:dyDescent="0.2">
      <c r="A185" s="2">
        <v>800</v>
      </c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</sheetData>
  <autoFilter ref="A1:A222" xr:uid="{683B0F0C-3FA7-B349-8D52-2170E1FF1310}">
    <sortState xmlns:xlrd2="http://schemas.microsoft.com/office/spreadsheetml/2017/richdata2" ref="A2:A222">
      <sortCondition descending="1" ref="A2:A22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495CB-896F-8746-8105-111F7180CFB6}">
  <dimension ref="A1:P502"/>
  <sheetViews>
    <sheetView tabSelected="1" zoomScale="75" zoomScaleNormal="100" workbookViewId="0">
      <selection activeCell="Y15" sqref="Y15"/>
    </sheetView>
  </sheetViews>
  <sheetFormatPr baseColWidth="10" defaultRowHeight="16" x14ac:dyDescent="0.2"/>
  <cols>
    <col min="1" max="1" width="22.83203125" customWidth="1"/>
  </cols>
  <sheetData>
    <row r="1" spans="1:16" x14ac:dyDescent="0.2">
      <c r="A1" s="2" t="s">
        <v>4</v>
      </c>
      <c r="B1">
        <f>COUNT('No Outliers'!A:A)</f>
        <v>184</v>
      </c>
      <c r="C1" t="s">
        <v>13</v>
      </c>
      <c r="D1" t="s">
        <v>9</v>
      </c>
      <c r="E1" t="s">
        <v>14</v>
      </c>
      <c r="F1" s="2" t="s">
        <v>15</v>
      </c>
      <c r="K1" s="5" t="s">
        <v>22</v>
      </c>
      <c r="L1" s="5"/>
      <c r="M1" s="5"/>
      <c r="N1" s="5"/>
      <c r="O1" s="5"/>
      <c r="P1" s="5"/>
    </row>
    <row r="2" spans="1:16" x14ac:dyDescent="0.2">
      <c r="A2" s="2" t="s">
        <v>5</v>
      </c>
      <c r="B2">
        <f>MAX('No Outliers'!A:A)</f>
        <v>1200</v>
      </c>
      <c r="C2">
        <f>$B$5</f>
        <v>1039.2934782608695</v>
      </c>
      <c r="D2">
        <f>$B$6</f>
        <v>1000</v>
      </c>
      <c r="E2">
        <f>$B$7</f>
        <v>1200</v>
      </c>
      <c r="F2" s="1">
        <f>'Prepared Data'!A2</f>
        <v>3000</v>
      </c>
    </row>
    <row r="3" spans="1:16" x14ac:dyDescent="0.2">
      <c r="A3" s="2" t="s">
        <v>6</v>
      </c>
      <c r="B3">
        <f>MIN('No Outliers'!A:A)</f>
        <v>800</v>
      </c>
      <c r="C3">
        <f t="shared" ref="C3:C66" si="0">$B$5</f>
        <v>1039.2934782608695</v>
      </c>
      <c r="D3">
        <f t="shared" ref="D3:D66" si="1">$B$6</f>
        <v>1000</v>
      </c>
      <c r="E3">
        <f t="shared" ref="E3:E66" si="2">$B$7</f>
        <v>1200</v>
      </c>
      <c r="F3" s="1">
        <f>'Prepared Data'!A3</f>
        <v>1800</v>
      </c>
    </row>
    <row r="4" spans="1:16" x14ac:dyDescent="0.2">
      <c r="A4" s="2" t="s">
        <v>7</v>
      </c>
      <c r="B4">
        <f>B2-B3</f>
        <v>400</v>
      </c>
      <c r="C4">
        <f t="shared" si="0"/>
        <v>1039.2934782608695</v>
      </c>
      <c r="D4">
        <f t="shared" si="1"/>
        <v>1000</v>
      </c>
      <c r="E4">
        <f t="shared" si="2"/>
        <v>1200</v>
      </c>
      <c r="F4" s="1">
        <f>'Prepared Data'!A4</f>
        <v>1200</v>
      </c>
    </row>
    <row r="5" spans="1:16" x14ac:dyDescent="0.2">
      <c r="A5" s="2" t="s">
        <v>8</v>
      </c>
      <c r="B5">
        <f>AVERAGE('No Outliers'!A:A)</f>
        <v>1039.2934782608695</v>
      </c>
      <c r="C5">
        <f t="shared" si="0"/>
        <v>1039.2934782608695</v>
      </c>
      <c r="D5">
        <f t="shared" si="1"/>
        <v>1000</v>
      </c>
      <c r="E5">
        <f t="shared" si="2"/>
        <v>1200</v>
      </c>
      <c r="F5" s="1">
        <f>'Prepared Data'!A5</f>
        <v>1200</v>
      </c>
    </row>
    <row r="6" spans="1:16" x14ac:dyDescent="0.2">
      <c r="A6" s="2" t="s">
        <v>9</v>
      </c>
      <c r="B6">
        <f>MEDIAN('No Outliers'!A:A)</f>
        <v>1000</v>
      </c>
      <c r="C6">
        <f t="shared" si="0"/>
        <v>1039.2934782608695</v>
      </c>
      <c r="D6">
        <f t="shared" si="1"/>
        <v>1000</v>
      </c>
      <c r="E6">
        <f t="shared" si="2"/>
        <v>1200</v>
      </c>
      <c r="F6" s="1">
        <f>'Prepared Data'!A6</f>
        <v>800</v>
      </c>
    </row>
    <row r="7" spans="1:16" x14ac:dyDescent="0.2">
      <c r="A7" s="2" t="s">
        <v>10</v>
      </c>
      <c r="B7">
        <f>MODE('No Outliers'!A:A)</f>
        <v>1200</v>
      </c>
      <c r="C7">
        <f t="shared" si="0"/>
        <v>1039.2934782608695</v>
      </c>
      <c r="D7">
        <f t="shared" si="1"/>
        <v>1000</v>
      </c>
      <c r="E7">
        <f t="shared" si="2"/>
        <v>1200</v>
      </c>
      <c r="F7" s="1">
        <f>'Prepared Data'!A7</f>
        <v>1450</v>
      </c>
    </row>
    <row r="8" spans="1:16" x14ac:dyDescent="0.2">
      <c r="A8" s="2" t="s">
        <v>11</v>
      </c>
      <c r="B8">
        <f>_xlfn.VAR.S('No Outliers'!A:A)</f>
        <v>18750.864219529543</v>
      </c>
      <c r="C8">
        <f t="shared" si="0"/>
        <v>1039.2934782608695</v>
      </c>
      <c r="D8">
        <f t="shared" si="1"/>
        <v>1000</v>
      </c>
      <c r="E8">
        <f t="shared" si="2"/>
        <v>1200</v>
      </c>
      <c r="F8" s="1">
        <f>'Prepared Data'!A8</f>
        <v>1000</v>
      </c>
    </row>
    <row r="9" spans="1:16" x14ac:dyDescent="0.2">
      <c r="A9" s="2" t="s">
        <v>12</v>
      </c>
      <c r="B9">
        <f>_xlfn.STDEV.S('No Outliers'!A:A)</f>
        <v>136.93379502346943</v>
      </c>
      <c r="C9">
        <f t="shared" si="0"/>
        <v>1039.2934782608695</v>
      </c>
      <c r="D9">
        <f t="shared" si="1"/>
        <v>1000</v>
      </c>
      <c r="E9">
        <f t="shared" si="2"/>
        <v>1200</v>
      </c>
      <c r="F9" s="1">
        <f>'Prepared Data'!A9</f>
        <v>800</v>
      </c>
    </row>
    <row r="10" spans="1:16" x14ac:dyDescent="0.2">
      <c r="C10">
        <f t="shared" si="0"/>
        <v>1039.2934782608695</v>
      </c>
      <c r="D10">
        <f t="shared" si="1"/>
        <v>1000</v>
      </c>
      <c r="E10">
        <f t="shared" si="2"/>
        <v>1200</v>
      </c>
      <c r="F10" s="1">
        <f>'Prepared Data'!A10</f>
        <v>1200</v>
      </c>
    </row>
    <row r="11" spans="1:16" x14ac:dyDescent="0.2">
      <c r="C11">
        <f t="shared" si="0"/>
        <v>1039.2934782608695</v>
      </c>
      <c r="D11">
        <f t="shared" si="1"/>
        <v>1000</v>
      </c>
      <c r="E11">
        <f t="shared" si="2"/>
        <v>1200</v>
      </c>
      <c r="F11" s="1">
        <f>'Prepared Data'!A11</f>
        <v>1200</v>
      </c>
    </row>
    <row r="12" spans="1:16" x14ac:dyDescent="0.2">
      <c r="C12">
        <f t="shared" si="0"/>
        <v>1039.2934782608695</v>
      </c>
      <c r="D12">
        <f t="shared" si="1"/>
        <v>1000</v>
      </c>
      <c r="E12">
        <f t="shared" si="2"/>
        <v>1200</v>
      </c>
      <c r="F12" s="1">
        <f>'Prepared Data'!A12</f>
        <v>1000</v>
      </c>
    </row>
    <row r="13" spans="1:16" x14ac:dyDescent="0.2">
      <c r="C13">
        <f t="shared" si="0"/>
        <v>1039.2934782608695</v>
      </c>
      <c r="D13">
        <f t="shared" si="1"/>
        <v>1000</v>
      </c>
      <c r="E13">
        <f t="shared" si="2"/>
        <v>1200</v>
      </c>
      <c r="F13" s="1">
        <f>'Prepared Data'!A13</f>
        <v>475</v>
      </c>
    </row>
    <row r="14" spans="1:16" x14ac:dyDescent="0.2">
      <c r="C14">
        <f t="shared" si="0"/>
        <v>1039.2934782608695</v>
      </c>
      <c r="D14">
        <f t="shared" si="1"/>
        <v>1000</v>
      </c>
      <c r="E14">
        <f t="shared" si="2"/>
        <v>1200</v>
      </c>
      <c r="F14" s="1">
        <f>'Prepared Data'!A14</f>
        <v>900</v>
      </c>
    </row>
    <row r="15" spans="1:16" x14ac:dyDescent="0.2">
      <c r="C15">
        <f t="shared" si="0"/>
        <v>1039.2934782608695</v>
      </c>
      <c r="D15">
        <f t="shared" si="1"/>
        <v>1000</v>
      </c>
      <c r="E15">
        <f t="shared" si="2"/>
        <v>1200</v>
      </c>
      <c r="F15" s="1">
        <f>'Prepared Data'!A15</f>
        <v>900</v>
      </c>
    </row>
    <row r="16" spans="1:16" x14ac:dyDescent="0.2">
      <c r="C16">
        <f t="shared" si="0"/>
        <v>1039.2934782608695</v>
      </c>
      <c r="D16">
        <f t="shared" si="1"/>
        <v>1000</v>
      </c>
      <c r="E16">
        <f t="shared" si="2"/>
        <v>1200</v>
      </c>
      <c r="F16" s="1">
        <f>'Prepared Data'!A16</f>
        <v>1000</v>
      </c>
    </row>
    <row r="17" spans="3:6" x14ac:dyDescent="0.2">
      <c r="C17">
        <f t="shared" si="0"/>
        <v>1039.2934782608695</v>
      </c>
      <c r="D17">
        <f t="shared" si="1"/>
        <v>1000</v>
      </c>
      <c r="E17">
        <f t="shared" si="2"/>
        <v>1200</v>
      </c>
      <c r="F17" s="1">
        <f>'Prepared Data'!A17</f>
        <v>850</v>
      </c>
    </row>
    <row r="18" spans="3:6" x14ac:dyDescent="0.2">
      <c r="C18">
        <f t="shared" si="0"/>
        <v>1039.2934782608695</v>
      </c>
      <c r="D18">
        <f t="shared" si="1"/>
        <v>1000</v>
      </c>
      <c r="E18">
        <f t="shared" si="2"/>
        <v>1200</v>
      </c>
      <c r="F18" s="1">
        <f>'Prepared Data'!A18</f>
        <v>1500</v>
      </c>
    </row>
    <row r="19" spans="3:6" x14ac:dyDescent="0.2">
      <c r="C19">
        <f t="shared" si="0"/>
        <v>1039.2934782608695</v>
      </c>
      <c r="D19">
        <f t="shared" si="1"/>
        <v>1000</v>
      </c>
      <c r="E19">
        <f t="shared" si="2"/>
        <v>1200</v>
      </c>
      <c r="F19" s="1">
        <f>'Prepared Data'!A19</f>
        <v>1200</v>
      </c>
    </row>
    <row r="20" spans="3:6" x14ac:dyDescent="0.2">
      <c r="C20">
        <f t="shared" si="0"/>
        <v>1039.2934782608695</v>
      </c>
      <c r="D20">
        <f t="shared" si="1"/>
        <v>1000</v>
      </c>
      <c r="E20">
        <f t="shared" si="2"/>
        <v>1200</v>
      </c>
      <c r="F20" s="1">
        <f>'Prepared Data'!A20</f>
        <v>1000</v>
      </c>
    </row>
    <row r="21" spans="3:6" x14ac:dyDescent="0.2">
      <c r="C21">
        <f t="shared" si="0"/>
        <v>1039.2934782608695</v>
      </c>
      <c r="D21">
        <f t="shared" si="1"/>
        <v>1000</v>
      </c>
      <c r="E21">
        <f t="shared" si="2"/>
        <v>1200</v>
      </c>
      <c r="F21" s="1">
        <f>'Prepared Data'!A21</f>
        <v>1200</v>
      </c>
    </row>
    <row r="22" spans="3:6" x14ac:dyDescent="0.2">
      <c r="C22">
        <f t="shared" si="0"/>
        <v>1039.2934782608695</v>
      </c>
      <c r="D22">
        <f t="shared" si="1"/>
        <v>1000</v>
      </c>
      <c r="E22">
        <f t="shared" si="2"/>
        <v>1200</v>
      </c>
      <c r="F22" s="1">
        <f>'Prepared Data'!A22</f>
        <v>1200</v>
      </c>
    </row>
    <row r="23" spans="3:6" x14ac:dyDescent="0.2">
      <c r="C23">
        <f t="shared" si="0"/>
        <v>1039.2934782608695</v>
      </c>
      <c r="D23">
        <f t="shared" si="1"/>
        <v>1000</v>
      </c>
      <c r="E23">
        <f t="shared" si="2"/>
        <v>1200</v>
      </c>
      <c r="F23" s="1">
        <f>'Prepared Data'!A23</f>
        <v>1200</v>
      </c>
    </row>
    <row r="24" spans="3:6" x14ac:dyDescent="0.2">
      <c r="C24">
        <f t="shared" si="0"/>
        <v>1039.2934782608695</v>
      </c>
      <c r="D24">
        <f t="shared" si="1"/>
        <v>1000</v>
      </c>
      <c r="E24">
        <f t="shared" si="2"/>
        <v>1200</v>
      </c>
      <c r="F24" s="1">
        <f>'Prepared Data'!A24</f>
        <v>2500</v>
      </c>
    </row>
    <row r="25" spans="3:6" x14ac:dyDescent="0.2">
      <c r="C25">
        <f t="shared" si="0"/>
        <v>1039.2934782608695</v>
      </c>
      <c r="D25">
        <f t="shared" si="1"/>
        <v>1000</v>
      </c>
      <c r="E25">
        <f t="shared" si="2"/>
        <v>1200</v>
      </c>
      <c r="F25" s="1">
        <f>'Prepared Data'!A25</f>
        <v>1400</v>
      </c>
    </row>
    <row r="26" spans="3:6" x14ac:dyDescent="0.2">
      <c r="C26">
        <f t="shared" si="0"/>
        <v>1039.2934782608695</v>
      </c>
      <c r="D26">
        <f t="shared" si="1"/>
        <v>1000</v>
      </c>
      <c r="E26">
        <f t="shared" si="2"/>
        <v>1200</v>
      </c>
      <c r="F26" s="1">
        <f>'Prepared Data'!A26</f>
        <v>3500</v>
      </c>
    </row>
    <row r="27" spans="3:6" x14ac:dyDescent="0.2">
      <c r="C27">
        <f t="shared" si="0"/>
        <v>1039.2934782608695</v>
      </c>
      <c r="D27">
        <f t="shared" si="1"/>
        <v>1000</v>
      </c>
      <c r="E27">
        <f t="shared" si="2"/>
        <v>1200</v>
      </c>
      <c r="F27" s="1">
        <f>'Prepared Data'!A27</f>
        <v>1000</v>
      </c>
    </row>
    <row r="28" spans="3:6" x14ac:dyDescent="0.2">
      <c r="C28">
        <f t="shared" si="0"/>
        <v>1039.2934782608695</v>
      </c>
      <c r="D28">
        <f t="shared" si="1"/>
        <v>1000</v>
      </c>
      <c r="E28">
        <f t="shared" si="2"/>
        <v>1200</v>
      </c>
      <c r="F28" s="1">
        <f>'Prepared Data'!A28</f>
        <v>1300</v>
      </c>
    </row>
    <row r="29" spans="3:6" x14ac:dyDescent="0.2">
      <c r="C29">
        <f t="shared" si="0"/>
        <v>1039.2934782608695</v>
      </c>
      <c r="D29">
        <f t="shared" si="1"/>
        <v>1000</v>
      </c>
      <c r="E29">
        <f t="shared" si="2"/>
        <v>1200</v>
      </c>
      <c r="F29" s="1">
        <f>'Prepared Data'!A29</f>
        <v>200</v>
      </c>
    </row>
    <row r="30" spans="3:6" x14ac:dyDescent="0.2">
      <c r="C30">
        <f t="shared" si="0"/>
        <v>1039.2934782608695</v>
      </c>
      <c r="D30">
        <f t="shared" si="1"/>
        <v>1000</v>
      </c>
      <c r="E30">
        <f t="shared" si="2"/>
        <v>1200</v>
      </c>
      <c r="F30" s="1">
        <f>'Prepared Data'!A30</f>
        <v>1700</v>
      </c>
    </row>
    <row r="31" spans="3:6" x14ac:dyDescent="0.2">
      <c r="C31">
        <f t="shared" si="0"/>
        <v>1039.2934782608695</v>
      </c>
      <c r="D31">
        <f t="shared" si="1"/>
        <v>1000</v>
      </c>
      <c r="E31">
        <f t="shared" si="2"/>
        <v>1200</v>
      </c>
      <c r="F31" s="1">
        <f>'Prepared Data'!A31</f>
        <v>1700</v>
      </c>
    </row>
    <row r="32" spans="3:6" x14ac:dyDescent="0.2">
      <c r="C32">
        <f t="shared" si="0"/>
        <v>1039.2934782608695</v>
      </c>
      <c r="D32">
        <f t="shared" si="1"/>
        <v>1000</v>
      </c>
      <c r="E32">
        <f t="shared" si="2"/>
        <v>1200</v>
      </c>
      <c r="F32" s="1">
        <f>'Prepared Data'!A32</f>
        <v>1200</v>
      </c>
    </row>
    <row r="33" spans="3:6" x14ac:dyDescent="0.2">
      <c r="C33">
        <f t="shared" si="0"/>
        <v>1039.2934782608695</v>
      </c>
      <c r="D33">
        <f t="shared" si="1"/>
        <v>1000</v>
      </c>
      <c r="E33">
        <f t="shared" si="2"/>
        <v>1200</v>
      </c>
      <c r="F33" s="1">
        <f>'Prepared Data'!A33</f>
        <v>900</v>
      </c>
    </row>
    <row r="34" spans="3:6" x14ac:dyDescent="0.2">
      <c r="C34">
        <f t="shared" si="0"/>
        <v>1039.2934782608695</v>
      </c>
      <c r="D34">
        <f t="shared" si="1"/>
        <v>1000</v>
      </c>
      <c r="E34">
        <f t="shared" si="2"/>
        <v>1200</v>
      </c>
      <c r="F34" s="1">
        <f>'Prepared Data'!A34</f>
        <v>2000</v>
      </c>
    </row>
    <row r="35" spans="3:6" x14ac:dyDescent="0.2">
      <c r="C35">
        <f t="shared" si="0"/>
        <v>1039.2934782608695</v>
      </c>
      <c r="D35">
        <f t="shared" si="1"/>
        <v>1000</v>
      </c>
      <c r="E35">
        <f t="shared" si="2"/>
        <v>1200</v>
      </c>
      <c r="F35" s="1">
        <f>'Prepared Data'!A35</f>
        <v>1500</v>
      </c>
    </row>
    <row r="36" spans="3:6" x14ac:dyDescent="0.2">
      <c r="C36">
        <f t="shared" si="0"/>
        <v>1039.2934782608695</v>
      </c>
      <c r="D36">
        <f t="shared" si="1"/>
        <v>1000</v>
      </c>
      <c r="E36">
        <f t="shared" si="2"/>
        <v>1200</v>
      </c>
      <c r="F36" s="1">
        <f>'Prepared Data'!A36</f>
        <v>1200</v>
      </c>
    </row>
    <row r="37" spans="3:6" x14ac:dyDescent="0.2">
      <c r="C37">
        <f t="shared" si="0"/>
        <v>1039.2934782608695</v>
      </c>
      <c r="D37">
        <f t="shared" si="1"/>
        <v>1000</v>
      </c>
      <c r="E37">
        <f t="shared" si="2"/>
        <v>1200</v>
      </c>
      <c r="F37" s="1">
        <f>'Prepared Data'!A37</f>
        <v>900</v>
      </c>
    </row>
    <row r="38" spans="3:6" x14ac:dyDescent="0.2">
      <c r="C38">
        <f t="shared" si="0"/>
        <v>1039.2934782608695</v>
      </c>
      <c r="D38">
        <f t="shared" si="1"/>
        <v>1000</v>
      </c>
      <c r="E38">
        <f t="shared" si="2"/>
        <v>1200</v>
      </c>
      <c r="F38" s="1">
        <f>'Prepared Data'!A38</f>
        <v>1000</v>
      </c>
    </row>
    <row r="39" spans="3:6" x14ac:dyDescent="0.2">
      <c r="C39">
        <f t="shared" si="0"/>
        <v>1039.2934782608695</v>
      </c>
      <c r="D39">
        <f t="shared" si="1"/>
        <v>1000</v>
      </c>
      <c r="E39">
        <f t="shared" si="2"/>
        <v>1200</v>
      </c>
      <c r="F39" s="1">
        <f>'Prepared Data'!A39</f>
        <v>2000</v>
      </c>
    </row>
    <row r="40" spans="3:6" x14ac:dyDescent="0.2">
      <c r="C40">
        <f t="shared" si="0"/>
        <v>1039.2934782608695</v>
      </c>
      <c r="D40">
        <f t="shared" si="1"/>
        <v>1000</v>
      </c>
      <c r="E40">
        <f t="shared" si="2"/>
        <v>1200</v>
      </c>
      <c r="F40" s="1">
        <f>'Prepared Data'!A40</f>
        <v>1500</v>
      </c>
    </row>
    <row r="41" spans="3:6" x14ac:dyDescent="0.2">
      <c r="C41">
        <f t="shared" si="0"/>
        <v>1039.2934782608695</v>
      </c>
      <c r="D41">
        <f t="shared" si="1"/>
        <v>1000</v>
      </c>
      <c r="E41">
        <f t="shared" si="2"/>
        <v>1200</v>
      </c>
      <c r="F41" s="1">
        <f>'Prepared Data'!A41</f>
        <v>1100</v>
      </c>
    </row>
    <row r="42" spans="3:6" x14ac:dyDescent="0.2">
      <c r="C42">
        <f t="shared" si="0"/>
        <v>1039.2934782608695</v>
      </c>
      <c r="D42">
        <f t="shared" si="1"/>
        <v>1000</v>
      </c>
      <c r="E42">
        <f t="shared" si="2"/>
        <v>1200</v>
      </c>
      <c r="F42" s="1">
        <f>'Prepared Data'!A42</f>
        <v>770</v>
      </c>
    </row>
    <row r="43" spans="3:6" x14ac:dyDescent="0.2">
      <c r="C43">
        <f t="shared" si="0"/>
        <v>1039.2934782608695</v>
      </c>
      <c r="D43">
        <f t="shared" si="1"/>
        <v>1000</v>
      </c>
      <c r="E43">
        <f t="shared" si="2"/>
        <v>1200</v>
      </c>
      <c r="F43" s="1">
        <f>'Prepared Data'!A43</f>
        <v>800</v>
      </c>
    </row>
    <row r="44" spans="3:6" x14ac:dyDescent="0.2">
      <c r="C44">
        <f t="shared" si="0"/>
        <v>1039.2934782608695</v>
      </c>
      <c r="D44">
        <f t="shared" si="1"/>
        <v>1000</v>
      </c>
      <c r="E44">
        <f t="shared" si="2"/>
        <v>1200</v>
      </c>
      <c r="F44" s="1">
        <f>'Prepared Data'!A44</f>
        <v>1300</v>
      </c>
    </row>
    <row r="45" spans="3:6" x14ac:dyDescent="0.2">
      <c r="C45">
        <f t="shared" si="0"/>
        <v>1039.2934782608695</v>
      </c>
      <c r="D45">
        <f t="shared" si="1"/>
        <v>1000</v>
      </c>
      <c r="E45">
        <f t="shared" si="2"/>
        <v>1200</v>
      </c>
      <c r="F45" s="1">
        <f>'Prepared Data'!A45</f>
        <v>1500</v>
      </c>
    </row>
    <row r="46" spans="3:6" x14ac:dyDescent="0.2">
      <c r="C46">
        <f t="shared" si="0"/>
        <v>1039.2934782608695</v>
      </c>
      <c r="D46">
        <f t="shared" si="1"/>
        <v>1000</v>
      </c>
      <c r="E46">
        <f t="shared" si="2"/>
        <v>1200</v>
      </c>
      <c r="F46" s="1">
        <f>'Prepared Data'!A46</f>
        <v>1200</v>
      </c>
    </row>
    <row r="47" spans="3:6" x14ac:dyDescent="0.2">
      <c r="C47">
        <f t="shared" si="0"/>
        <v>1039.2934782608695</v>
      </c>
      <c r="D47">
        <f t="shared" si="1"/>
        <v>1000</v>
      </c>
      <c r="E47">
        <f t="shared" si="2"/>
        <v>1200</v>
      </c>
      <c r="F47" s="1">
        <f>'Prepared Data'!A47</f>
        <v>1400</v>
      </c>
    </row>
    <row r="48" spans="3:6" x14ac:dyDescent="0.2">
      <c r="C48">
        <f t="shared" si="0"/>
        <v>1039.2934782608695</v>
      </c>
      <c r="D48">
        <f t="shared" si="1"/>
        <v>1000</v>
      </c>
      <c r="E48">
        <f t="shared" si="2"/>
        <v>1200</v>
      </c>
      <c r="F48" s="1">
        <f>'Prepared Data'!A48</f>
        <v>1400</v>
      </c>
    </row>
    <row r="49" spans="3:6" x14ac:dyDescent="0.2">
      <c r="C49">
        <f t="shared" si="0"/>
        <v>1039.2934782608695</v>
      </c>
      <c r="D49">
        <f t="shared" si="1"/>
        <v>1000</v>
      </c>
      <c r="E49">
        <f t="shared" si="2"/>
        <v>1200</v>
      </c>
      <c r="F49" s="1">
        <f>'Prepared Data'!A49</f>
        <v>1200</v>
      </c>
    </row>
    <row r="50" spans="3:6" x14ac:dyDescent="0.2">
      <c r="C50">
        <f t="shared" si="0"/>
        <v>1039.2934782608695</v>
      </c>
      <c r="D50">
        <f t="shared" si="1"/>
        <v>1000</v>
      </c>
      <c r="E50">
        <f t="shared" si="2"/>
        <v>1200</v>
      </c>
      <c r="F50" s="1">
        <f>'Prepared Data'!A50</f>
        <v>1500</v>
      </c>
    </row>
    <row r="51" spans="3:6" x14ac:dyDescent="0.2">
      <c r="C51">
        <f t="shared" si="0"/>
        <v>1039.2934782608695</v>
      </c>
      <c r="D51">
        <f t="shared" si="1"/>
        <v>1000</v>
      </c>
      <c r="E51">
        <f t="shared" si="2"/>
        <v>1200</v>
      </c>
      <c r="F51" s="1">
        <f>'Prepared Data'!A51</f>
        <v>100</v>
      </c>
    </row>
    <row r="52" spans="3:6" x14ac:dyDescent="0.2">
      <c r="C52">
        <f t="shared" si="0"/>
        <v>1039.2934782608695</v>
      </c>
      <c r="D52">
        <f t="shared" si="1"/>
        <v>1000</v>
      </c>
      <c r="E52">
        <f t="shared" si="2"/>
        <v>1200</v>
      </c>
      <c r="F52" s="1">
        <f>'Prepared Data'!A52</f>
        <v>600</v>
      </c>
    </row>
    <row r="53" spans="3:6" x14ac:dyDescent="0.2">
      <c r="C53">
        <f t="shared" si="0"/>
        <v>1039.2934782608695</v>
      </c>
      <c r="D53">
        <f t="shared" si="1"/>
        <v>1000</v>
      </c>
      <c r="E53">
        <f t="shared" si="2"/>
        <v>1200</v>
      </c>
      <c r="F53" s="1">
        <f>'Prepared Data'!A53</f>
        <v>1400</v>
      </c>
    </row>
    <row r="54" spans="3:6" x14ac:dyDescent="0.2">
      <c r="C54">
        <f t="shared" si="0"/>
        <v>1039.2934782608695</v>
      </c>
      <c r="D54">
        <f t="shared" si="1"/>
        <v>1000</v>
      </c>
      <c r="E54">
        <f t="shared" si="2"/>
        <v>1200</v>
      </c>
      <c r="F54" s="1">
        <f>'Prepared Data'!A54</f>
        <v>1300</v>
      </c>
    </row>
    <row r="55" spans="3:6" x14ac:dyDescent="0.2">
      <c r="C55">
        <f t="shared" si="0"/>
        <v>1039.2934782608695</v>
      </c>
      <c r="D55">
        <f t="shared" si="1"/>
        <v>1000</v>
      </c>
      <c r="E55">
        <f t="shared" si="2"/>
        <v>1200</v>
      </c>
      <c r="F55" s="1">
        <f>'Prepared Data'!A55</f>
        <v>900</v>
      </c>
    </row>
    <row r="56" spans="3:6" x14ac:dyDescent="0.2">
      <c r="C56">
        <f t="shared" si="0"/>
        <v>1039.2934782608695</v>
      </c>
      <c r="D56">
        <f t="shared" si="1"/>
        <v>1000</v>
      </c>
      <c r="E56">
        <f t="shared" si="2"/>
        <v>1200</v>
      </c>
      <c r="F56" s="1">
        <f>'Prepared Data'!A56</f>
        <v>1500</v>
      </c>
    </row>
    <row r="57" spans="3:6" x14ac:dyDescent="0.2">
      <c r="C57">
        <f t="shared" si="0"/>
        <v>1039.2934782608695</v>
      </c>
      <c r="D57">
        <f t="shared" si="1"/>
        <v>1000</v>
      </c>
      <c r="E57">
        <f t="shared" si="2"/>
        <v>1200</v>
      </c>
      <c r="F57" s="1">
        <f>'Prepared Data'!A57</f>
        <v>1500</v>
      </c>
    </row>
    <row r="58" spans="3:6" x14ac:dyDescent="0.2">
      <c r="C58">
        <f t="shared" si="0"/>
        <v>1039.2934782608695</v>
      </c>
      <c r="D58">
        <f t="shared" si="1"/>
        <v>1000</v>
      </c>
      <c r="E58">
        <f t="shared" si="2"/>
        <v>1200</v>
      </c>
      <c r="F58" s="1">
        <f>'Prepared Data'!A58</f>
        <v>800</v>
      </c>
    </row>
    <row r="59" spans="3:6" x14ac:dyDescent="0.2">
      <c r="C59">
        <f t="shared" si="0"/>
        <v>1039.2934782608695</v>
      </c>
      <c r="D59">
        <f t="shared" si="1"/>
        <v>1000</v>
      </c>
      <c r="E59">
        <f t="shared" si="2"/>
        <v>1200</v>
      </c>
      <c r="F59" s="1">
        <f>'Prepared Data'!A59</f>
        <v>600</v>
      </c>
    </row>
    <row r="60" spans="3:6" x14ac:dyDescent="0.2">
      <c r="C60">
        <f t="shared" si="0"/>
        <v>1039.2934782608695</v>
      </c>
      <c r="D60">
        <f t="shared" si="1"/>
        <v>1000</v>
      </c>
      <c r="E60">
        <f t="shared" si="2"/>
        <v>1200</v>
      </c>
      <c r="F60" s="1">
        <f>'Prepared Data'!A60</f>
        <v>1200</v>
      </c>
    </row>
    <row r="61" spans="3:6" x14ac:dyDescent="0.2">
      <c r="C61">
        <f t="shared" si="0"/>
        <v>1039.2934782608695</v>
      </c>
      <c r="D61">
        <f t="shared" si="1"/>
        <v>1000</v>
      </c>
      <c r="E61">
        <f t="shared" si="2"/>
        <v>1200</v>
      </c>
      <c r="F61" s="1">
        <f>'Prepared Data'!A61</f>
        <v>2000</v>
      </c>
    </row>
    <row r="62" spans="3:6" x14ac:dyDescent="0.2">
      <c r="C62">
        <f t="shared" si="0"/>
        <v>1039.2934782608695</v>
      </c>
      <c r="D62">
        <f t="shared" si="1"/>
        <v>1000</v>
      </c>
      <c r="E62">
        <f t="shared" si="2"/>
        <v>1200</v>
      </c>
      <c r="F62" s="1">
        <f>'Prepared Data'!A62</f>
        <v>1500</v>
      </c>
    </row>
    <row r="63" spans="3:6" x14ac:dyDescent="0.2">
      <c r="C63">
        <f t="shared" si="0"/>
        <v>1039.2934782608695</v>
      </c>
      <c r="D63">
        <f t="shared" si="1"/>
        <v>1000</v>
      </c>
      <c r="E63">
        <f t="shared" si="2"/>
        <v>1200</v>
      </c>
      <c r="F63" s="1">
        <f>'Prepared Data'!A63</f>
        <v>1000</v>
      </c>
    </row>
    <row r="64" spans="3:6" x14ac:dyDescent="0.2">
      <c r="C64">
        <f t="shared" si="0"/>
        <v>1039.2934782608695</v>
      </c>
      <c r="D64">
        <f t="shared" si="1"/>
        <v>1000</v>
      </c>
      <c r="E64">
        <f t="shared" si="2"/>
        <v>1200</v>
      </c>
      <c r="F64" s="1">
        <f>'Prepared Data'!A64</f>
        <v>1000</v>
      </c>
    </row>
    <row r="65" spans="3:6" x14ac:dyDescent="0.2">
      <c r="C65">
        <f t="shared" si="0"/>
        <v>1039.2934782608695</v>
      </c>
      <c r="D65">
        <f t="shared" si="1"/>
        <v>1000</v>
      </c>
      <c r="E65">
        <f t="shared" si="2"/>
        <v>1200</v>
      </c>
      <c r="F65" s="1">
        <f>'Prepared Data'!A65</f>
        <v>1000</v>
      </c>
    </row>
    <row r="66" spans="3:6" x14ac:dyDescent="0.2">
      <c r="C66">
        <f t="shared" si="0"/>
        <v>1039.2934782608695</v>
      </c>
      <c r="D66">
        <f t="shared" si="1"/>
        <v>1000</v>
      </c>
      <c r="E66">
        <f t="shared" si="2"/>
        <v>1200</v>
      </c>
      <c r="F66" s="1">
        <f>'Prepared Data'!A66</f>
        <v>2500</v>
      </c>
    </row>
    <row r="67" spans="3:6" x14ac:dyDescent="0.2">
      <c r="C67">
        <f t="shared" ref="C67:C130" si="3">$B$5</f>
        <v>1039.2934782608695</v>
      </c>
      <c r="D67">
        <f t="shared" ref="D67:D130" si="4">$B$6</f>
        <v>1000</v>
      </c>
      <c r="E67">
        <f t="shared" ref="E67:E130" si="5">$B$7</f>
        <v>1200</v>
      </c>
      <c r="F67" s="1">
        <f>'Prepared Data'!A67</f>
        <v>1300</v>
      </c>
    </row>
    <row r="68" spans="3:6" x14ac:dyDescent="0.2">
      <c r="C68">
        <f t="shared" si="3"/>
        <v>1039.2934782608695</v>
      </c>
      <c r="D68">
        <f t="shared" si="4"/>
        <v>1000</v>
      </c>
      <c r="E68">
        <f t="shared" si="5"/>
        <v>1200</v>
      </c>
      <c r="F68" s="1">
        <f>'Prepared Data'!A68</f>
        <v>1500</v>
      </c>
    </row>
    <row r="69" spans="3:6" x14ac:dyDescent="0.2">
      <c r="C69">
        <f t="shared" si="3"/>
        <v>1039.2934782608695</v>
      </c>
      <c r="D69">
        <f t="shared" si="4"/>
        <v>1000</v>
      </c>
      <c r="E69">
        <f t="shared" si="5"/>
        <v>1200</v>
      </c>
      <c r="F69" s="1">
        <f>'Prepared Data'!A69</f>
        <v>600</v>
      </c>
    </row>
    <row r="70" spans="3:6" x14ac:dyDescent="0.2">
      <c r="C70">
        <f t="shared" si="3"/>
        <v>1039.2934782608695</v>
      </c>
      <c r="D70">
        <f t="shared" si="4"/>
        <v>1000</v>
      </c>
      <c r="E70">
        <f t="shared" si="5"/>
        <v>1200</v>
      </c>
      <c r="F70" s="1">
        <f>'Prepared Data'!A70</f>
        <v>650</v>
      </c>
    </row>
    <row r="71" spans="3:6" x14ac:dyDescent="0.2">
      <c r="C71">
        <f t="shared" si="3"/>
        <v>1039.2934782608695</v>
      </c>
      <c r="D71">
        <f t="shared" si="4"/>
        <v>1000</v>
      </c>
      <c r="E71">
        <f t="shared" si="5"/>
        <v>1200</v>
      </c>
      <c r="F71" s="1">
        <f>'Prepared Data'!A71</f>
        <v>1800</v>
      </c>
    </row>
    <row r="72" spans="3:6" x14ac:dyDescent="0.2">
      <c r="C72">
        <f t="shared" si="3"/>
        <v>1039.2934782608695</v>
      </c>
      <c r="D72">
        <f t="shared" si="4"/>
        <v>1000</v>
      </c>
      <c r="E72">
        <f t="shared" si="5"/>
        <v>1200</v>
      </c>
      <c r="F72" s="1">
        <f>'Prepared Data'!A72</f>
        <v>1000</v>
      </c>
    </row>
    <row r="73" spans="3:6" x14ac:dyDescent="0.2">
      <c r="C73">
        <f t="shared" si="3"/>
        <v>1039.2934782608695</v>
      </c>
      <c r="D73">
        <f t="shared" si="4"/>
        <v>1000</v>
      </c>
      <c r="E73">
        <f t="shared" si="5"/>
        <v>1200</v>
      </c>
      <c r="F73" s="1">
        <f>'Prepared Data'!A73</f>
        <v>1000</v>
      </c>
    </row>
    <row r="74" spans="3:6" x14ac:dyDescent="0.2">
      <c r="C74">
        <f t="shared" si="3"/>
        <v>1039.2934782608695</v>
      </c>
      <c r="D74">
        <f t="shared" si="4"/>
        <v>1000</v>
      </c>
      <c r="E74">
        <f t="shared" si="5"/>
        <v>1200</v>
      </c>
      <c r="F74" s="1">
        <f>'Prepared Data'!A74</f>
        <v>1000</v>
      </c>
    </row>
    <row r="75" spans="3:6" x14ac:dyDescent="0.2">
      <c r="C75">
        <f t="shared" si="3"/>
        <v>1039.2934782608695</v>
      </c>
      <c r="D75">
        <f t="shared" si="4"/>
        <v>1000</v>
      </c>
      <c r="E75">
        <f t="shared" si="5"/>
        <v>1200</v>
      </c>
      <c r="F75" s="1">
        <f>'Prepared Data'!A75</f>
        <v>1500</v>
      </c>
    </row>
    <row r="76" spans="3:6" x14ac:dyDescent="0.2">
      <c r="C76">
        <f t="shared" si="3"/>
        <v>1039.2934782608695</v>
      </c>
      <c r="D76">
        <f t="shared" si="4"/>
        <v>1000</v>
      </c>
      <c r="E76">
        <f t="shared" si="5"/>
        <v>1200</v>
      </c>
      <c r="F76" s="1">
        <f>'Prepared Data'!A76</f>
        <v>900</v>
      </c>
    </row>
    <row r="77" spans="3:6" x14ac:dyDescent="0.2">
      <c r="C77">
        <f t="shared" si="3"/>
        <v>1039.2934782608695</v>
      </c>
      <c r="D77">
        <f t="shared" si="4"/>
        <v>1000</v>
      </c>
      <c r="E77">
        <f t="shared" si="5"/>
        <v>1200</v>
      </c>
      <c r="F77" s="1">
        <f>'Prepared Data'!A77</f>
        <v>1500</v>
      </c>
    </row>
    <row r="78" spans="3:6" x14ac:dyDescent="0.2">
      <c r="C78">
        <f t="shared" si="3"/>
        <v>1039.2934782608695</v>
      </c>
      <c r="D78">
        <f t="shared" si="4"/>
        <v>1000</v>
      </c>
      <c r="E78">
        <f t="shared" si="5"/>
        <v>1200</v>
      </c>
      <c r="F78" s="1">
        <f>'Prepared Data'!A78</f>
        <v>1500</v>
      </c>
    </row>
    <row r="79" spans="3:6" x14ac:dyDescent="0.2">
      <c r="C79">
        <f t="shared" si="3"/>
        <v>1039.2934782608695</v>
      </c>
      <c r="D79">
        <f t="shared" si="4"/>
        <v>1000</v>
      </c>
      <c r="E79">
        <f t="shared" si="5"/>
        <v>1200</v>
      </c>
      <c r="F79" s="1">
        <f>'Prepared Data'!A79</f>
        <v>1500</v>
      </c>
    </row>
    <row r="80" spans="3:6" x14ac:dyDescent="0.2">
      <c r="C80">
        <f t="shared" si="3"/>
        <v>1039.2934782608695</v>
      </c>
      <c r="D80">
        <f t="shared" si="4"/>
        <v>1000</v>
      </c>
      <c r="E80">
        <f t="shared" si="5"/>
        <v>1200</v>
      </c>
      <c r="F80" s="1">
        <f>'Prepared Data'!A80</f>
        <v>1900</v>
      </c>
    </row>
    <row r="81" spans="3:6" x14ac:dyDescent="0.2">
      <c r="C81">
        <f t="shared" si="3"/>
        <v>1039.2934782608695</v>
      </c>
      <c r="D81">
        <f t="shared" si="4"/>
        <v>1000</v>
      </c>
      <c r="E81">
        <f t="shared" si="5"/>
        <v>1200</v>
      </c>
      <c r="F81" s="1">
        <f>'Prepared Data'!A81</f>
        <v>1100</v>
      </c>
    </row>
    <row r="82" spans="3:6" x14ac:dyDescent="0.2">
      <c r="C82">
        <f t="shared" si="3"/>
        <v>1039.2934782608695</v>
      </c>
      <c r="D82">
        <f t="shared" si="4"/>
        <v>1000</v>
      </c>
      <c r="E82">
        <f t="shared" si="5"/>
        <v>1200</v>
      </c>
      <c r="F82" s="1">
        <f>'Prepared Data'!A82</f>
        <v>1000</v>
      </c>
    </row>
    <row r="83" spans="3:6" x14ac:dyDescent="0.2">
      <c r="C83">
        <f t="shared" si="3"/>
        <v>1039.2934782608695</v>
      </c>
      <c r="D83">
        <f t="shared" si="4"/>
        <v>1000</v>
      </c>
      <c r="E83">
        <f t="shared" si="5"/>
        <v>1200</v>
      </c>
      <c r="F83" s="1">
        <f>'Prepared Data'!A83</f>
        <v>1500</v>
      </c>
    </row>
    <row r="84" spans="3:6" x14ac:dyDescent="0.2">
      <c r="C84">
        <f t="shared" si="3"/>
        <v>1039.2934782608695</v>
      </c>
      <c r="D84">
        <f t="shared" si="4"/>
        <v>1000</v>
      </c>
      <c r="E84">
        <f t="shared" si="5"/>
        <v>1200</v>
      </c>
      <c r="F84" s="1">
        <f>'Prepared Data'!A84</f>
        <v>850</v>
      </c>
    </row>
    <row r="85" spans="3:6" x14ac:dyDescent="0.2">
      <c r="C85">
        <f t="shared" si="3"/>
        <v>1039.2934782608695</v>
      </c>
      <c r="D85">
        <f t="shared" si="4"/>
        <v>1000</v>
      </c>
      <c r="E85">
        <f t="shared" si="5"/>
        <v>1200</v>
      </c>
      <c r="F85" s="1">
        <f>'Prepared Data'!A85</f>
        <v>1900</v>
      </c>
    </row>
    <row r="86" spans="3:6" x14ac:dyDescent="0.2">
      <c r="C86">
        <f t="shared" si="3"/>
        <v>1039.2934782608695</v>
      </c>
      <c r="D86">
        <f t="shared" si="4"/>
        <v>1000</v>
      </c>
      <c r="E86">
        <f t="shared" si="5"/>
        <v>1200</v>
      </c>
      <c r="F86" s="1">
        <f>'Prepared Data'!A86</f>
        <v>1300</v>
      </c>
    </row>
    <row r="87" spans="3:6" x14ac:dyDescent="0.2">
      <c r="C87">
        <f t="shared" si="3"/>
        <v>1039.2934782608695</v>
      </c>
      <c r="D87">
        <f t="shared" si="4"/>
        <v>1000</v>
      </c>
      <c r="E87">
        <f t="shared" si="5"/>
        <v>1200</v>
      </c>
      <c r="F87" s="1">
        <f>'Prepared Data'!A87</f>
        <v>1500</v>
      </c>
    </row>
    <row r="88" spans="3:6" x14ac:dyDescent="0.2">
      <c r="C88">
        <f t="shared" si="3"/>
        <v>1039.2934782608695</v>
      </c>
      <c r="D88">
        <f t="shared" si="4"/>
        <v>1000</v>
      </c>
      <c r="E88">
        <f t="shared" si="5"/>
        <v>1200</v>
      </c>
      <c r="F88" s="1">
        <f>'Prepared Data'!A88</f>
        <v>1200</v>
      </c>
    </row>
    <row r="89" spans="3:6" x14ac:dyDescent="0.2">
      <c r="C89">
        <f t="shared" si="3"/>
        <v>1039.2934782608695</v>
      </c>
      <c r="D89">
        <f t="shared" si="4"/>
        <v>1000</v>
      </c>
      <c r="E89">
        <f t="shared" si="5"/>
        <v>1200</v>
      </c>
      <c r="F89" s="1">
        <f>'Prepared Data'!A89</f>
        <v>900</v>
      </c>
    </row>
    <row r="90" spans="3:6" x14ac:dyDescent="0.2">
      <c r="C90">
        <f t="shared" si="3"/>
        <v>1039.2934782608695</v>
      </c>
      <c r="D90">
        <f t="shared" si="4"/>
        <v>1000</v>
      </c>
      <c r="E90">
        <f t="shared" si="5"/>
        <v>1200</v>
      </c>
      <c r="F90" s="1">
        <f>'Prepared Data'!A90</f>
        <v>1000</v>
      </c>
    </row>
    <row r="91" spans="3:6" x14ac:dyDescent="0.2">
      <c r="C91">
        <f t="shared" si="3"/>
        <v>1039.2934782608695</v>
      </c>
      <c r="D91">
        <f t="shared" si="4"/>
        <v>1000</v>
      </c>
      <c r="E91">
        <f t="shared" si="5"/>
        <v>1200</v>
      </c>
      <c r="F91" s="1">
        <f>'Prepared Data'!A91</f>
        <v>2000</v>
      </c>
    </row>
    <row r="92" spans="3:6" x14ac:dyDescent="0.2">
      <c r="C92">
        <f t="shared" si="3"/>
        <v>1039.2934782608695</v>
      </c>
      <c r="D92">
        <f t="shared" si="4"/>
        <v>1000</v>
      </c>
      <c r="E92">
        <f t="shared" si="5"/>
        <v>1200</v>
      </c>
      <c r="F92" s="1">
        <f>'Prepared Data'!A92</f>
        <v>2000</v>
      </c>
    </row>
    <row r="93" spans="3:6" x14ac:dyDescent="0.2">
      <c r="C93">
        <f t="shared" si="3"/>
        <v>1039.2934782608695</v>
      </c>
      <c r="D93">
        <f t="shared" si="4"/>
        <v>1000</v>
      </c>
      <c r="E93">
        <f t="shared" si="5"/>
        <v>1200</v>
      </c>
      <c r="F93" s="1">
        <f>'Prepared Data'!A93</f>
        <v>1600</v>
      </c>
    </row>
    <row r="94" spans="3:6" x14ac:dyDescent="0.2">
      <c r="C94">
        <f t="shared" si="3"/>
        <v>1039.2934782608695</v>
      </c>
      <c r="D94">
        <f t="shared" si="4"/>
        <v>1000</v>
      </c>
      <c r="E94">
        <f t="shared" si="5"/>
        <v>1200</v>
      </c>
      <c r="F94" s="1">
        <f>'Prepared Data'!A94</f>
        <v>1200</v>
      </c>
    </row>
    <row r="95" spans="3:6" x14ac:dyDescent="0.2">
      <c r="C95">
        <f t="shared" si="3"/>
        <v>1039.2934782608695</v>
      </c>
      <c r="D95">
        <f t="shared" si="4"/>
        <v>1000</v>
      </c>
      <c r="E95">
        <f t="shared" si="5"/>
        <v>1200</v>
      </c>
      <c r="F95" s="1">
        <f>'Prepared Data'!A95</f>
        <v>750</v>
      </c>
    </row>
    <row r="96" spans="3:6" x14ac:dyDescent="0.2">
      <c r="C96">
        <f t="shared" si="3"/>
        <v>1039.2934782608695</v>
      </c>
      <c r="D96">
        <f t="shared" si="4"/>
        <v>1000</v>
      </c>
      <c r="E96">
        <f t="shared" si="5"/>
        <v>1200</v>
      </c>
      <c r="F96" s="1">
        <f>'Prepared Data'!A96</f>
        <v>1750</v>
      </c>
    </row>
    <row r="97" spans="3:6" x14ac:dyDescent="0.2">
      <c r="C97">
        <f t="shared" si="3"/>
        <v>1039.2934782608695</v>
      </c>
      <c r="D97">
        <f t="shared" si="4"/>
        <v>1000</v>
      </c>
      <c r="E97">
        <f t="shared" si="5"/>
        <v>1200</v>
      </c>
      <c r="F97" s="1">
        <f>'Prepared Data'!A97</f>
        <v>1200</v>
      </c>
    </row>
    <row r="98" spans="3:6" x14ac:dyDescent="0.2">
      <c r="C98">
        <f t="shared" si="3"/>
        <v>1039.2934782608695</v>
      </c>
      <c r="D98">
        <f t="shared" si="4"/>
        <v>1000</v>
      </c>
      <c r="E98">
        <f t="shared" si="5"/>
        <v>1200</v>
      </c>
      <c r="F98" s="1">
        <f>'Prepared Data'!A98</f>
        <v>1000</v>
      </c>
    </row>
    <row r="99" spans="3:6" x14ac:dyDescent="0.2">
      <c r="C99">
        <f t="shared" si="3"/>
        <v>1039.2934782608695</v>
      </c>
      <c r="D99">
        <f t="shared" si="4"/>
        <v>1000</v>
      </c>
      <c r="E99">
        <f t="shared" si="5"/>
        <v>1200</v>
      </c>
      <c r="F99" s="1">
        <f>'Prepared Data'!A99</f>
        <v>2000</v>
      </c>
    </row>
    <row r="100" spans="3:6" x14ac:dyDescent="0.2">
      <c r="C100">
        <f t="shared" si="3"/>
        <v>1039.2934782608695</v>
      </c>
      <c r="D100">
        <f t="shared" si="4"/>
        <v>1000</v>
      </c>
      <c r="E100">
        <f t="shared" si="5"/>
        <v>1200</v>
      </c>
      <c r="F100" s="1">
        <f>'Prepared Data'!A100</f>
        <v>1500</v>
      </c>
    </row>
    <row r="101" spans="3:6" x14ac:dyDescent="0.2">
      <c r="C101">
        <f t="shared" si="3"/>
        <v>1039.2934782608695</v>
      </c>
      <c r="D101">
        <f t="shared" si="4"/>
        <v>1000</v>
      </c>
      <c r="E101">
        <f t="shared" si="5"/>
        <v>1200</v>
      </c>
      <c r="F101" s="1">
        <f>'Prepared Data'!A101</f>
        <v>1500</v>
      </c>
    </row>
    <row r="102" spans="3:6" x14ac:dyDescent="0.2">
      <c r="C102">
        <f t="shared" si="3"/>
        <v>1039.2934782608695</v>
      </c>
      <c r="D102">
        <f t="shared" si="4"/>
        <v>1000</v>
      </c>
      <c r="E102">
        <f t="shared" si="5"/>
        <v>1200</v>
      </c>
      <c r="F102" s="1">
        <f>'Prepared Data'!A102</f>
        <v>1500</v>
      </c>
    </row>
    <row r="103" spans="3:6" x14ac:dyDescent="0.2">
      <c r="C103">
        <f t="shared" si="3"/>
        <v>1039.2934782608695</v>
      </c>
      <c r="D103">
        <f t="shared" si="4"/>
        <v>1000</v>
      </c>
      <c r="E103">
        <f t="shared" si="5"/>
        <v>1200</v>
      </c>
      <c r="F103" s="1">
        <f>'Prepared Data'!A103</f>
        <v>1100</v>
      </c>
    </row>
    <row r="104" spans="3:6" x14ac:dyDescent="0.2">
      <c r="C104">
        <f t="shared" si="3"/>
        <v>1039.2934782608695</v>
      </c>
      <c r="D104">
        <f t="shared" si="4"/>
        <v>1000</v>
      </c>
      <c r="E104">
        <f t="shared" si="5"/>
        <v>1200</v>
      </c>
      <c r="F104" s="1">
        <f>'Prepared Data'!A104</f>
        <v>800</v>
      </c>
    </row>
    <row r="105" spans="3:6" x14ac:dyDescent="0.2">
      <c r="C105">
        <f t="shared" si="3"/>
        <v>1039.2934782608695</v>
      </c>
      <c r="D105">
        <f t="shared" si="4"/>
        <v>1000</v>
      </c>
      <c r="E105">
        <f t="shared" si="5"/>
        <v>1200</v>
      </c>
      <c r="F105" s="1">
        <f>'Prepared Data'!A105</f>
        <v>1400</v>
      </c>
    </row>
    <row r="106" spans="3:6" x14ac:dyDescent="0.2">
      <c r="C106">
        <f t="shared" si="3"/>
        <v>1039.2934782608695</v>
      </c>
      <c r="D106">
        <f t="shared" si="4"/>
        <v>1000</v>
      </c>
      <c r="E106">
        <f t="shared" si="5"/>
        <v>1200</v>
      </c>
      <c r="F106" s="1">
        <f>'Prepared Data'!A106</f>
        <v>900</v>
      </c>
    </row>
    <row r="107" spans="3:6" x14ac:dyDescent="0.2">
      <c r="C107">
        <f t="shared" si="3"/>
        <v>1039.2934782608695</v>
      </c>
      <c r="D107">
        <f t="shared" si="4"/>
        <v>1000</v>
      </c>
      <c r="E107">
        <f t="shared" si="5"/>
        <v>1200</v>
      </c>
      <c r="F107" s="1">
        <f>'Prepared Data'!A107</f>
        <v>850</v>
      </c>
    </row>
    <row r="108" spans="3:6" x14ac:dyDescent="0.2">
      <c r="C108">
        <f t="shared" si="3"/>
        <v>1039.2934782608695</v>
      </c>
      <c r="D108">
        <f t="shared" si="4"/>
        <v>1000</v>
      </c>
      <c r="E108">
        <f t="shared" si="5"/>
        <v>1200</v>
      </c>
      <c r="F108" s="1">
        <f>'Prepared Data'!A108</f>
        <v>1200</v>
      </c>
    </row>
    <row r="109" spans="3:6" x14ac:dyDescent="0.2">
      <c r="C109">
        <f t="shared" si="3"/>
        <v>1039.2934782608695</v>
      </c>
      <c r="D109">
        <f t="shared" si="4"/>
        <v>1000</v>
      </c>
      <c r="E109">
        <f t="shared" si="5"/>
        <v>1200</v>
      </c>
      <c r="F109" s="1">
        <f>'Prepared Data'!A109</f>
        <v>1000</v>
      </c>
    </row>
    <row r="110" spans="3:6" x14ac:dyDescent="0.2">
      <c r="C110">
        <f t="shared" si="3"/>
        <v>1039.2934782608695</v>
      </c>
      <c r="D110">
        <f t="shared" si="4"/>
        <v>1000</v>
      </c>
      <c r="E110">
        <f t="shared" si="5"/>
        <v>1200</v>
      </c>
      <c r="F110" s="1">
        <f>'Prepared Data'!A110</f>
        <v>1450</v>
      </c>
    </row>
    <row r="111" spans="3:6" x14ac:dyDescent="0.2">
      <c r="C111">
        <f t="shared" si="3"/>
        <v>1039.2934782608695</v>
      </c>
      <c r="D111">
        <f t="shared" si="4"/>
        <v>1000</v>
      </c>
      <c r="E111">
        <f t="shared" si="5"/>
        <v>1200</v>
      </c>
      <c r="F111" s="1">
        <f>'Prepared Data'!A111</f>
        <v>1200</v>
      </c>
    </row>
    <row r="112" spans="3:6" x14ac:dyDescent="0.2">
      <c r="C112">
        <f t="shared" si="3"/>
        <v>1039.2934782608695</v>
      </c>
      <c r="D112">
        <f t="shared" si="4"/>
        <v>1000</v>
      </c>
      <c r="E112">
        <f t="shared" si="5"/>
        <v>1200</v>
      </c>
      <c r="F112" s="1">
        <f>'Prepared Data'!A112</f>
        <v>1300</v>
      </c>
    </row>
    <row r="113" spans="3:6" x14ac:dyDescent="0.2">
      <c r="C113">
        <f t="shared" si="3"/>
        <v>1039.2934782608695</v>
      </c>
      <c r="D113">
        <f t="shared" si="4"/>
        <v>1000</v>
      </c>
      <c r="E113">
        <f t="shared" si="5"/>
        <v>1200</v>
      </c>
      <c r="F113" s="1">
        <f>'Prepared Data'!A113</f>
        <v>1000</v>
      </c>
    </row>
    <row r="114" spans="3:6" x14ac:dyDescent="0.2">
      <c r="C114">
        <f t="shared" si="3"/>
        <v>1039.2934782608695</v>
      </c>
      <c r="D114">
        <f t="shared" si="4"/>
        <v>1000</v>
      </c>
      <c r="E114">
        <f t="shared" si="5"/>
        <v>1200</v>
      </c>
      <c r="F114" s="1">
        <f>'Prepared Data'!A114</f>
        <v>1000</v>
      </c>
    </row>
    <row r="115" spans="3:6" x14ac:dyDescent="0.2">
      <c r="C115">
        <f t="shared" si="3"/>
        <v>1039.2934782608695</v>
      </c>
      <c r="D115">
        <f t="shared" si="4"/>
        <v>1000</v>
      </c>
      <c r="E115">
        <f t="shared" si="5"/>
        <v>1200</v>
      </c>
      <c r="F115" s="1">
        <f>'Prepared Data'!A115</f>
        <v>2000</v>
      </c>
    </row>
    <row r="116" spans="3:6" x14ac:dyDescent="0.2">
      <c r="C116">
        <f t="shared" si="3"/>
        <v>1039.2934782608695</v>
      </c>
      <c r="D116">
        <f t="shared" si="4"/>
        <v>1000</v>
      </c>
      <c r="E116">
        <f t="shared" si="5"/>
        <v>1200</v>
      </c>
      <c r="F116" s="1">
        <f>'Prepared Data'!A116</f>
        <v>5000</v>
      </c>
    </row>
    <row r="117" spans="3:6" x14ac:dyDescent="0.2">
      <c r="C117">
        <f t="shared" si="3"/>
        <v>1039.2934782608695</v>
      </c>
      <c r="D117">
        <f t="shared" si="4"/>
        <v>1000</v>
      </c>
      <c r="E117">
        <f t="shared" si="5"/>
        <v>1200</v>
      </c>
      <c r="F117" s="1">
        <f>'Prepared Data'!A117</f>
        <v>850</v>
      </c>
    </row>
    <row r="118" spans="3:6" x14ac:dyDescent="0.2">
      <c r="C118">
        <f t="shared" si="3"/>
        <v>1039.2934782608695</v>
      </c>
      <c r="D118">
        <f t="shared" si="4"/>
        <v>1000</v>
      </c>
      <c r="E118">
        <f t="shared" si="5"/>
        <v>1200</v>
      </c>
      <c r="F118" s="1">
        <f>'Prepared Data'!A118</f>
        <v>2000</v>
      </c>
    </row>
    <row r="119" spans="3:6" x14ac:dyDescent="0.2">
      <c r="C119">
        <f t="shared" si="3"/>
        <v>1039.2934782608695</v>
      </c>
      <c r="D119">
        <f t="shared" si="4"/>
        <v>1000</v>
      </c>
      <c r="E119">
        <f t="shared" si="5"/>
        <v>1200</v>
      </c>
      <c r="F119" s="1">
        <f>'Prepared Data'!A119</f>
        <v>2000</v>
      </c>
    </row>
    <row r="120" spans="3:6" x14ac:dyDescent="0.2">
      <c r="C120">
        <f t="shared" si="3"/>
        <v>1039.2934782608695</v>
      </c>
      <c r="D120">
        <f t="shared" si="4"/>
        <v>1000</v>
      </c>
      <c r="E120">
        <f t="shared" si="5"/>
        <v>1200</v>
      </c>
      <c r="F120" s="1">
        <f>'Prepared Data'!A120</f>
        <v>500</v>
      </c>
    </row>
    <row r="121" spans="3:6" x14ac:dyDescent="0.2">
      <c r="C121">
        <f t="shared" si="3"/>
        <v>1039.2934782608695</v>
      </c>
      <c r="D121">
        <f t="shared" si="4"/>
        <v>1000</v>
      </c>
      <c r="E121">
        <f t="shared" si="5"/>
        <v>1200</v>
      </c>
      <c r="F121" s="1">
        <f>'Prepared Data'!A121</f>
        <v>6000</v>
      </c>
    </row>
    <row r="122" spans="3:6" x14ac:dyDescent="0.2">
      <c r="C122">
        <f t="shared" si="3"/>
        <v>1039.2934782608695</v>
      </c>
      <c r="D122">
        <f t="shared" si="4"/>
        <v>1000</v>
      </c>
      <c r="E122">
        <f t="shared" si="5"/>
        <v>1200</v>
      </c>
      <c r="F122" s="1">
        <f>'Prepared Data'!A122</f>
        <v>900</v>
      </c>
    </row>
    <row r="123" spans="3:6" x14ac:dyDescent="0.2">
      <c r="C123">
        <f t="shared" si="3"/>
        <v>1039.2934782608695</v>
      </c>
      <c r="D123">
        <f t="shared" si="4"/>
        <v>1000</v>
      </c>
      <c r="E123">
        <f t="shared" si="5"/>
        <v>1200</v>
      </c>
      <c r="F123" s="1">
        <f>'Prepared Data'!A123</f>
        <v>1500</v>
      </c>
    </row>
    <row r="124" spans="3:6" x14ac:dyDescent="0.2">
      <c r="C124">
        <f t="shared" si="3"/>
        <v>1039.2934782608695</v>
      </c>
      <c r="D124">
        <f t="shared" si="4"/>
        <v>1000</v>
      </c>
      <c r="E124">
        <f t="shared" si="5"/>
        <v>1200</v>
      </c>
      <c r="F124" s="1">
        <f>'Prepared Data'!A124</f>
        <v>1500</v>
      </c>
    </row>
    <row r="125" spans="3:6" x14ac:dyDescent="0.2">
      <c r="C125">
        <f t="shared" si="3"/>
        <v>1039.2934782608695</v>
      </c>
      <c r="D125">
        <f t="shared" si="4"/>
        <v>1000</v>
      </c>
      <c r="E125">
        <f t="shared" si="5"/>
        <v>1200</v>
      </c>
      <c r="F125" s="1">
        <f>'Prepared Data'!A125</f>
        <v>1200</v>
      </c>
    </row>
    <row r="126" spans="3:6" x14ac:dyDescent="0.2">
      <c r="C126">
        <f t="shared" si="3"/>
        <v>1039.2934782608695</v>
      </c>
      <c r="D126">
        <f t="shared" si="4"/>
        <v>1000</v>
      </c>
      <c r="E126">
        <f t="shared" si="5"/>
        <v>1200</v>
      </c>
      <c r="F126" s="1">
        <f>'Prepared Data'!A126</f>
        <v>2000</v>
      </c>
    </row>
    <row r="127" spans="3:6" x14ac:dyDescent="0.2">
      <c r="C127">
        <f t="shared" si="3"/>
        <v>1039.2934782608695</v>
      </c>
      <c r="D127">
        <f t="shared" si="4"/>
        <v>1000</v>
      </c>
      <c r="E127">
        <f t="shared" si="5"/>
        <v>1200</v>
      </c>
      <c r="F127" s="1">
        <f>'Prepared Data'!A127</f>
        <v>1300</v>
      </c>
    </row>
    <row r="128" spans="3:6" x14ac:dyDescent="0.2">
      <c r="C128">
        <f t="shared" si="3"/>
        <v>1039.2934782608695</v>
      </c>
      <c r="D128">
        <f t="shared" si="4"/>
        <v>1000</v>
      </c>
      <c r="E128">
        <f t="shared" si="5"/>
        <v>1200</v>
      </c>
      <c r="F128" s="1">
        <f>'Prepared Data'!A128</f>
        <v>700</v>
      </c>
    </row>
    <row r="129" spans="3:6" x14ac:dyDescent="0.2">
      <c r="C129">
        <f t="shared" si="3"/>
        <v>1039.2934782608695</v>
      </c>
      <c r="D129">
        <f t="shared" si="4"/>
        <v>1000</v>
      </c>
      <c r="E129">
        <f t="shared" si="5"/>
        <v>1200</v>
      </c>
      <c r="F129" s="1">
        <f>'Prepared Data'!A129</f>
        <v>1100</v>
      </c>
    </row>
    <row r="130" spans="3:6" x14ac:dyDescent="0.2">
      <c r="C130">
        <f t="shared" si="3"/>
        <v>1039.2934782608695</v>
      </c>
      <c r="D130">
        <f t="shared" si="4"/>
        <v>1000</v>
      </c>
      <c r="E130">
        <f t="shared" si="5"/>
        <v>1200</v>
      </c>
      <c r="F130" s="1">
        <f>'Prepared Data'!A130</f>
        <v>1100</v>
      </c>
    </row>
    <row r="131" spans="3:6" x14ac:dyDescent="0.2">
      <c r="C131">
        <f t="shared" ref="C131:C194" si="6">$B$5</f>
        <v>1039.2934782608695</v>
      </c>
      <c r="D131">
        <f t="shared" ref="D131:D194" si="7">$B$6</f>
        <v>1000</v>
      </c>
      <c r="E131">
        <f t="shared" ref="E131:E194" si="8">$B$7</f>
        <v>1200</v>
      </c>
      <c r="F131" s="1">
        <f>'Prepared Data'!A131</f>
        <v>700</v>
      </c>
    </row>
    <row r="132" spans="3:6" x14ac:dyDescent="0.2">
      <c r="C132">
        <f t="shared" si="6"/>
        <v>1039.2934782608695</v>
      </c>
      <c r="D132">
        <f t="shared" si="7"/>
        <v>1000</v>
      </c>
      <c r="E132">
        <f t="shared" si="8"/>
        <v>1200</v>
      </c>
      <c r="F132" s="1">
        <f>'Prepared Data'!A132</f>
        <v>1200</v>
      </c>
    </row>
    <row r="133" spans="3:6" x14ac:dyDescent="0.2">
      <c r="C133">
        <f t="shared" si="6"/>
        <v>1039.2934782608695</v>
      </c>
      <c r="D133">
        <f t="shared" si="7"/>
        <v>1000</v>
      </c>
      <c r="E133">
        <f t="shared" si="8"/>
        <v>1200</v>
      </c>
      <c r="F133" s="1">
        <f>'Prepared Data'!A133</f>
        <v>1700</v>
      </c>
    </row>
    <row r="134" spans="3:6" x14ac:dyDescent="0.2">
      <c r="C134">
        <f t="shared" si="6"/>
        <v>1039.2934782608695</v>
      </c>
      <c r="D134">
        <f t="shared" si="7"/>
        <v>1000</v>
      </c>
      <c r="E134">
        <f t="shared" si="8"/>
        <v>1200</v>
      </c>
      <c r="F134" s="1">
        <f>'Prepared Data'!A134</f>
        <v>800</v>
      </c>
    </row>
    <row r="135" spans="3:6" x14ac:dyDescent="0.2">
      <c r="C135">
        <f t="shared" si="6"/>
        <v>1039.2934782608695</v>
      </c>
      <c r="D135">
        <f t="shared" si="7"/>
        <v>1000</v>
      </c>
      <c r="E135">
        <f t="shared" si="8"/>
        <v>1200</v>
      </c>
      <c r="F135" s="1">
        <f>'Prepared Data'!A135</f>
        <v>1400</v>
      </c>
    </row>
    <row r="136" spans="3:6" x14ac:dyDescent="0.2">
      <c r="C136">
        <f t="shared" si="6"/>
        <v>1039.2934782608695</v>
      </c>
      <c r="D136">
        <f t="shared" si="7"/>
        <v>1000</v>
      </c>
      <c r="E136">
        <f t="shared" si="8"/>
        <v>1200</v>
      </c>
      <c r="F136" s="1">
        <f>'Prepared Data'!A136</f>
        <v>1400</v>
      </c>
    </row>
    <row r="137" spans="3:6" x14ac:dyDescent="0.2">
      <c r="C137">
        <f t="shared" si="6"/>
        <v>1039.2934782608695</v>
      </c>
      <c r="D137">
        <f t="shared" si="7"/>
        <v>1000</v>
      </c>
      <c r="E137">
        <f t="shared" si="8"/>
        <v>1200</v>
      </c>
      <c r="F137" s="1">
        <f>'Prepared Data'!A137</f>
        <v>1200</v>
      </c>
    </row>
    <row r="138" spans="3:6" x14ac:dyDescent="0.2">
      <c r="C138">
        <f t="shared" si="6"/>
        <v>1039.2934782608695</v>
      </c>
      <c r="D138">
        <f t="shared" si="7"/>
        <v>1000</v>
      </c>
      <c r="E138">
        <f t="shared" si="8"/>
        <v>1200</v>
      </c>
      <c r="F138" s="1">
        <f>'Prepared Data'!A138</f>
        <v>5000</v>
      </c>
    </row>
    <row r="139" spans="3:6" x14ac:dyDescent="0.2">
      <c r="C139">
        <f t="shared" si="6"/>
        <v>1039.2934782608695</v>
      </c>
      <c r="D139">
        <f t="shared" si="7"/>
        <v>1000</v>
      </c>
      <c r="E139">
        <f t="shared" si="8"/>
        <v>1200</v>
      </c>
      <c r="F139" s="1">
        <f>'Prepared Data'!A139</f>
        <v>1500</v>
      </c>
    </row>
    <row r="140" spans="3:6" x14ac:dyDescent="0.2">
      <c r="C140">
        <f t="shared" si="6"/>
        <v>1039.2934782608695</v>
      </c>
      <c r="D140">
        <f t="shared" si="7"/>
        <v>1000</v>
      </c>
      <c r="E140">
        <f t="shared" si="8"/>
        <v>1200</v>
      </c>
      <c r="F140" s="1">
        <f>'Prepared Data'!A140</f>
        <v>700</v>
      </c>
    </row>
    <row r="141" spans="3:6" x14ac:dyDescent="0.2">
      <c r="C141">
        <f t="shared" si="6"/>
        <v>1039.2934782608695</v>
      </c>
      <c r="D141">
        <f t="shared" si="7"/>
        <v>1000</v>
      </c>
      <c r="E141">
        <f t="shared" si="8"/>
        <v>1200</v>
      </c>
      <c r="F141" s="1">
        <f>'Prepared Data'!A141</f>
        <v>3000</v>
      </c>
    </row>
    <row r="142" spans="3:6" x14ac:dyDescent="0.2">
      <c r="C142">
        <f t="shared" si="6"/>
        <v>1039.2934782608695</v>
      </c>
      <c r="D142">
        <f t="shared" si="7"/>
        <v>1000</v>
      </c>
      <c r="E142">
        <f t="shared" si="8"/>
        <v>1200</v>
      </c>
      <c r="F142" s="1">
        <f>'Prepared Data'!A142</f>
        <v>1000</v>
      </c>
    </row>
    <row r="143" spans="3:6" x14ac:dyDescent="0.2">
      <c r="C143">
        <f t="shared" si="6"/>
        <v>1039.2934782608695</v>
      </c>
      <c r="D143">
        <f t="shared" si="7"/>
        <v>1000</v>
      </c>
      <c r="E143">
        <f t="shared" si="8"/>
        <v>1200</v>
      </c>
      <c r="F143" s="1">
        <f>'Prepared Data'!A143</f>
        <v>1000</v>
      </c>
    </row>
    <row r="144" spans="3:6" x14ac:dyDescent="0.2">
      <c r="C144">
        <f t="shared" si="6"/>
        <v>1039.2934782608695</v>
      </c>
      <c r="D144">
        <f t="shared" si="7"/>
        <v>1000</v>
      </c>
      <c r="E144">
        <f t="shared" si="8"/>
        <v>1200</v>
      </c>
      <c r="F144" s="1">
        <f>'Prepared Data'!A144</f>
        <v>4000</v>
      </c>
    </row>
    <row r="145" spans="3:6" x14ac:dyDescent="0.2">
      <c r="C145">
        <f t="shared" si="6"/>
        <v>1039.2934782608695</v>
      </c>
      <c r="D145">
        <f t="shared" si="7"/>
        <v>1000</v>
      </c>
      <c r="E145">
        <f t="shared" si="8"/>
        <v>1200</v>
      </c>
      <c r="F145" s="1">
        <f>'Prepared Data'!A145</f>
        <v>1200</v>
      </c>
    </row>
    <row r="146" spans="3:6" x14ac:dyDescent="0.2">
      <c r="C146">
        <f t="shared" si="6"/>
        <v>1039.2934782608695</v>
      </c>
      <c r="D146">
        <f t="shared" si="7"/>
        <v>1000</v>
      </c>
      <c r="E146">
        <f t="shared" si="8"/>
        <v>1200</v>
      </c>
      <c r="F146" s="1">
        <f>'Prepared Data'!A146</f>
        <v>2000</v>
      </c>
    </row>
    <row r="147" spans="3:6" x14ac:dyDescent="0.2">
      <c r="C147">
        <f t="shared" si="6"/>
        <v>1039.2934782608695</v>
      </c>
      <c r="D147">
        <f t="shared" si="7"/>
        <v>1000</v>
      </c>
      <c r="E147">
        <f t="shared" si="8"/>
        <v>1200</v>
      </c>
      <c r="F147" s="1">
        <f>'Prepared Data'!A147</f>
        <v>1300</v>
      </c>
    </row>
    <row r="148" spans="3:6" x14ac:dyDescent="0.2">
      <c r="C148">
        <f t="shared" si="6"/>
        <v>1039.2934782608695</v>
      </c>
      <c r="D148">
        <f t="shared" si="7"/>
        <v>1000</v>
      </c>
      <c r="E148">
        <f t="shared" si="8"/>
        <v>1200</v>
      </c>
      <c r="F148" s="1">
        <f>'Prepared Data'!A148</f>
        <v>700</v>
      </c>
    </row>
    <row r="149" spans="3:6" x14ac:dyDescent="0.2">
      <c r="C149">
        <f t="shared" si="6"/>
        <v>1039.2934782608695</v>
      </c>
      <c r="D149">
        <f t="shared" si="7"/>
        <v>1000</v>
      </c>
      <c r="E149">
        <f t="shared" si="8"/>
        <v>1200</v>
      </c>
      <c r="F149" s="1">
        <f>'Prepared Data'!A149</f>
        <v>1050</v>
      </c>
    </row>
    <row r="150" spans="3:6" x14ac:dyDescent="0.2">
      <c r="C150">
        <f t="shared" si="6"/>
        <v>1039.2934782608695</v>
      </c>
      <c r="D150">
        <f t="shared" si="7"/>
        <v>1000</v>
      </c>
      <c r="E150">
        <f t="shared" si="8"/>
        <v>1200</v>
      </c>
      <c r="F150" s="1">
        <f>'Prepared Data'!A150</f>
        <v>1500</v>
      </c>
    </row>
    <row r="151" spans="3:6" x14ac:dyDescent="0.2">
      <c r="C151">
        <f t="shared" si="6"/>
        <v>1039.2934782608695</v>
      </c>
      <c r="D151">
        <f t="shared" si="7"/>
        <v>1000</v>
      </c>
      <c r="E151">
        <f t="shared" si="8"/>
        <v>1200</v>
      </c>
      <c r="F151" s="1">
        <f>'Prepared Data'!A151</f>
        <v>1100</v>
      </c>
    </row>
    <row r="152" spans="3:6" x14ac:dyDescent="0.2">
      <c r="C152">
        <f t="shared" si="6"/>
        <v>1039.2934782608695</v>
      </c>
      <c r="D152">
        <f t="shared" si="7"/>
        <v>1000</v>
      </c>
      <c r="E152">
        <f t="shared" si="8"/>
        <v>1200</v>
      </c>
      <c r="F152" s="1">
        <f>'Prepared Data'!A152</f>
        <v>1100</v>
      </c>
    </row>
    <row r="153" spans="3:6" x14ac:dyDescent="0.2">
      <c r="C153">
        <f t="shared" si="6"/>
        <v>1039.2934782608695</v>
      </c>
      <c r="D153">
        <f t="shared" si="7"/>
        <v>1000</v>
      </c>
      <c r="E153">
        <f t="shared" si="8"/>
        <v>1200</v>
      </c>
      <c r="F153" s="1">
        <f>'Prepared Data'!A153</f>
        <v>1000</v>
      </c>
    </row>
    <row r="154" spans="3:6" x14ac:dyDescent="0.2">
      <c r="C154">
        <f t="shared" si="6"/>
        <v>1039.2934782608695</v>
      </c>
      <c r="D154">
        <f t="shared" si="7"/>
        <v>1000</v>
      </c>
      <c r="E154">
        <f t="shared" si="8"/>
        <v>1200</v>
      </c>
      <c r="F154" s="1">
        <f>'Prepared Data'!A154</f>
        <v>1000</v>
      </c>
    </row>
    <row r="155" spans="3:6" x14ac:dyDescent="0.2">
      <c r="C155">
        <f t="shared" si="6"/>
        <v>1039.2934782608695</v>
      </c>
      <c r="D155">
        <f t="shared" si="7"/>
        <v>1000</v>
      </c>
      <c r="E155">
        <f t="shared" si="8"/>
        <v>1200</v>
      </c>
      <c r="F155" s="1">
        <f>'Prepared Data'!A155</f>
        <v>1500</v>
      </c>
    </row>
    <row r="156" spans="3:6" x14ac:dyDescent="0.2">
      <c r="C156">
        <f t="shared" si="6"/>
        <v>1039.2934782608695</v>
      </c>
      <c r="D156">
        <f t="shared" si="7"/>
        <v>1000</v>
      </c>
      <c r="E156">
        <f t="shared" si="8"/>
        <v>1200</v>
      </c>
      <c r="F156" s="1">
        <f>'Prepared Data'!A156</f>
        <v>750</v>
      </c>
    </row>
    <row r="157" spans="3:6" x14ac:dyDescent="0.2">
      <c r="C157">
        <f t="shared" si="6"/>
        <v>1039.2934782608695</v>
      </c>
      <c r="D157">
        <f t="shared" si="7"/>
        <v>1000</v>
      </c>
      <c r="E157">
        <f t="shared" si="8"/>
        <v>1200</v>
      </c>
      <c r="F157" s="1">
        <f>'Prepared Data'!A157</f>
        <v>1300</v>
      </c>
    </row>
    <row r="158" spans="3:6" x14ac:dyDescent="0.2">
      <c r="C158">
        <f t="shared" si="6"/>
        <v>1039.2934782608695</v>
      </c>
      <c r="D158">
        <f t="shared" si="7"/>
        <v>1000</v>
      </c>
      <c r="E158">
        <f t="shared" si="8"/>
        <v>1200</v>
      </c>
      <c r="F158" s="1">
        <f>'Prepared Data'!A158</f>
        <v>1500</v>
      </c>
    </row>
    <row r="159" spans="3:6" x14ac:dyDescent="0.2">
      <c r="C159">
        <f t="shared" si="6"/>
        <v>1039.2934782608695</v>
      </c>
      <c r="D159">
        <f t="shared" si="7"/>
        <v>1000</v>
      </c>
      <c r="E159">
        <f t="shared" si="8"/>
        <v>1200</v>
      </c>
      <c r="F159" s="1">
        <f>'Prepared Data'!A159</f>
        <v>1500</v>
      </c>
    </row>
    <row r="160" spans="3:6" x14ac:dyDescent="0.2">
      <c r="C160">
        <f t="shared" si="6"/>
        <v>1039.2934782608695</v>
      </c>
      <c r="D160">
        <f t="shared" si="7"/>
        <v>1000</v>
      </c>
      <c r="E160">
        <f t="shared" si="8"/>
        <v>1200</v>
      </c>
      <c r="F160" s="1">
        <f>'Prepared Data'!A160</f>
        <v>1400</v>
      </c>
    </row>
    <row r="161" spans="3:6" x14ac:dyDescent="0.2">
      <c r="C161">
        <f t="shared" si="6"/>
        <v>1039.2934782608695</v>
      </c>
      <c r="D161">
        <f t="shared" si="7"/>
        <v>1000</v>
      </c>
      <c r="E161">
        <f t="shared" si="8"/>
        <v>1200</v>
      </c>
      <c r="F161" s="1">
        <f>'Prepared Data'!A161</f>
        <v>1289.25</v>
      </c>
    </row>
    <row r="162" spans="3:6" x14ac:dyDescent="0.2">
      <c r="C162">
        <f t="shared" si="6"/>
        <v>1039.2934782608695</v>
      </c>
      <c r="D162">
        <f t="shared" si="7"/>
        <v>1000</v>
      </c>
      <c r="E162">
        <f t="shared" si="8"/>
        <v>1200</v>
      </c>
      <c r="F162" s="1">
        <f>'Prepared Data'!A162</f>
        <v>2000</v>
      </c>
    </row>
    <row r="163" spans="3:6" x14ac:dyDescent="0.2">
      <c r="C163">
        <f t="shared" si="6"/>
        <v>1039.2934782608695</v>
      </c>
      <c r="D163">
        <f t="shared" si="7"/>
        <v>1000</v>
      </c>
      <c r="E163">
        <f t="shared" si="8"/>
        <v>1200</v>
      </c>
      <c r="F163" s="1">
        <f>'Prepared Data'!A163</f>
        <v>1800</v>
      </c>
    </row>
    <row r="164" spans="3:6" x14ac:dyDescent="0.2">
      <c r="C164">
        <f t="shared" si="6"/>
        <v>1039.2934782608695</v>
      </c>
      <c r="D164">
        <f t="shared" si="7"/>
        <v>1000</v>
      </c>
      <c r="E164">
        <f t="shared" si="8"/>
        <v>1200</v>
      </c>
      <c r="F164" s="1">
        <f>'Prepared Data'!A164</f>
        <v>1100</v>
      </c>
    </row>
    <row r="165" spans="3:6" x14ac:dyDescent="0.2">
      <c r="C165">
        <f t="shared" si="6"/>
        <v>1039.2934782608695</v>
      </c>
      <c r="D165">
        <f t="shared" si="7"/>
        <v>1000</v>
      </c>
      <c r="E165">
        <f t="shared" si="8"/>
        <v>1200</v>
      </c>
      <c r="F165" s="1">
        <f>'Prepared Data'!A165</f>
        <v>1000</v>
      </c>
    </row>
    <row r="166" spans="3:6" x14ac:dyDescent="0.2">
      <c r="C166">
        <f t="shared" si="6"/>
        <v>1039.2934782608695</v>
      </c>
      <c r="D166">
        <f t="shared" si="7"/>
        <v>1000</v>
      </c>
      <c r="E166">
        <f t="shared" si="8"/>
        <v>1200</v>
      </c>
      <c r="F166" s="1">
        <f>'Prepared Data'!A166</f>
        <v>2000</v>
      </c>
    </row>
    <row r="167" spans="3:6" x14ac:dyDescent="0.2">
      <c r="C167">
        <f t="shared" si="6"/>
        <v>1039.2934782608695</v>
      </c>
      <c r="D167">
        <f t="shared" si="7"/>
        <v>1000</v>
      </c>
      <c r="E167">
        <f t="shared" si="8"/>
        <v>1200</v>
      </c>
      <c r="F167" s="1">
        <f>'Prepared Data'!A167</f>
        <v>1200</v>
      </c>
    </row>
    <row r="168" spans="3:6" x14ac:dyDescent="0.2">
      <c r="C168">
        <f t="shared" si="6"/>
        <v>1039.2934782608695</v>
      </c>
      <c r="D168">
        <f t="shared" si="7"/>
        <v>1000</v>
      </c>
      <c r="E168">
        <f t="shared" si="8"/>
        <v>1200</v>
      </c>
      <c r="F168" s="1">
        <f>'Prepared Data'!A168</f>
        <v>1400</v>
      </c>
    </row>
    <row r="169" spans="3:6" x14ac:dyDescent="0.2">
      <c r="C169">
        <f t="shared" si="6"/>
        <v>1039.2934782608695</v>
      </c>
      <c r="D169">
        <f t="shared" si="7"/>
        <v>1000</v>
      </c>
      <c r="E169">
        <f t="shared" si="8"/>
        <v>1200</v>
      </c>
      <c r="F169" s="1">
        <f>'Prepared Data'!A169</f>
        <v>1200</v>
      </c>
    </row>
    <row r="170" spans="3:6" x14ac:dyDescent="0.2">
      <c r="C170">
        <f t="shared" si="6"/>
        <v>1039.2934782608695</v>
      </c>
      <c r="D170">
        <f t="shared" si="7"/>
        <v>1000</v>
      </c>
      <c r="E170">
        <f t="shared" si="8"/>
        <v>1200</v>
      </c>
      <c r="F170" s="1">
        <f>'Prepared Data'!A170</f>
        <v>700</v>
      </c>
    </row>
    <row r="171" spans="3:6" x14ac:dyDescent="0.2">
      <c r="C171">
        <f t="shared" si="6"/>
        <v>1039.2934782608695</v>
      </c>
      <c r="D171">
        <f t="shared" si="7"/>
        <v>1000</v>
      </c>
      <c r="E171">
        <f t="shared" si="8"/>
        <v>1200</v>
      </c>
      <c r="F171" s="1">
        <f>'Prepared Data'!A171</f>
        <v>950</v>
      </c>
    </row>
    <row r="172" spans="3:6" x14ac:dyDescent="0.2">
      <c r="C172">
        <f t="shared" si="6"/>
        <v>1039.2934782608695</v>
      </c>
      <c r="D172">
        <f t="shared" si="7"/>
        <v>1000</v>
      </c>
      <c r="E172">
        <f t="shared" si="8"/>
        <v>1200</v>
      </c>
      <c r="F172" s="1">
        <f>'Prepared Data'!A172</f>
        <v>2500</v>
      </c>
    </row>
    <row r="173" spans="3:6" x14ac:dyDescent="0.2">
      <c r="C173">
        <f t="shared" si="6"/>
        <v>1039.2934782608695</v>
      </c>
      <c r="D173">
        <f t="shared" si="7"/>
        <v>1000</v>
      </c>
      <c r="E173">
        <f t="shared" si="8"/>
        <v>1200</v>
      </c>
      <c r="F173" s="1">
        <f>'Prepared Data'!A173</f>
        <v>1400</v>
      </c>
    </row>
    <row r="174" spans="3:6" x14ac:dyDescent="0.2">
      <c r="C174">
        <f t="shared" si="6"/>
        <v>1039.2934782608695</v>
      </c>
      <c r="D174">
        <f t="shared" si="7"/>
        <v>1000</v>
      </c>
      <c r="E174">
        <f t="shared" si="8"/>
        <v>1200</v>
      </c>
      <c r="F174" s="1">
        <f>'Prepared Data'!A174</f>
        <v>1200</v>
      </c>
    </row>
    <row r="175" spans="3:6" x14ac:dyDescent="0.2">
      <c r="C175">
        <f t="shared" si="6"/>
        <v>1039.2934782608695</v>
      </c>
      <c r="D175">
        <f t="shared" si="7"/>
        <v>1000</v>
      </c>
      <c r="E175">
        <f t="shared" si="8"/>
        <v>1200</v>
      </c>
      <c r="F175" s="1">
        <f>'Prepared Data'!A175</f>
        <v>1500</v>
      </c>
    </row>
    <row r="176" spans="3:6" x14ac:dyDescent="0.2">
      <c r="C176">
        <f t="shared" si="6"/>
        <v>1039.2934782608695</v>
      </c>
      <c r="D176">
        <f t="shared" si="7"/>
        <v>1000</v>
      </c>
      <c r="E176">
        <f t="shared" si="8"/>
        <v>1200</v>
      </c>
      <c r="F176" s="1">
        <f>'Prepared Data'!A176</f>
        <v>2500</v>
      </c>
    </row>
    <row r="177" spans="3:6" x14ac:dyDescent="0.2">
      <c r="C177">
        <f t="shared" si="6"/>
        <v>1039.2934782608695</v>
      </c>
      <c r="D177">
        <f t="shared" si="7"/>
        <v>1000</v>
      </c>
      <c r="E177">
        <f t="shared" si="8"/>
        <v>1200</v>
      </c>
      <c r="F177" s="1">
        <f>'Prepared Data'!A177</f>
        <v>1200</v>
      </c>
    </row>
    <row r="178" spans="3:6" x14ac:dyDescent="0.2">
      <c r="C178">
        <f t="shared" si="6"/>
        <v>1039.2934782608695</v>
      </c>
      <c r="D178">
        <f t="shared" si="7"/>
        <v>1000</v>
      </c>
      <c r="E178">
        <f t="shared" si="8"/>
        <v>1200</v>
      </c>
      <c r="F178" s="1">
        <f>'Prepared Data'!A178</f>
        <v>1200</v>
      </c>
    </row>
    <row r="179" spans="3:6" x14ac:dyDescent="0.2">
      <c r="C179">
        <f t="shared" si="6"/>
        <v>1039.2934782608695</v>
      </c>
      <c r="D179">
        <f t="shared" si="7"/>
        <v>1000</v>
      </c>
      <c r="E179">
        <f t="shared" si="8"/>
        <v>1200</v>
      </c>
      <c r="F179" s="1">
        <f>'Prepared Data'!A179</f>
        <v>1250</v>
      </c>
    </row>
    <row r="180" spans="3:6" x14ac:dyDescent="0.2">
      <c r="C180">
        <f t="shared" si="6"/>
        <v>1039.2934782608695</v>
      </c>
      <c r="D180">
        <f t="shared" si="7"/>
        <v>1000</v>
      </c>
      <c r="E180">
        <f t="shared" si="8"/>
        <v>1200</v>
      </c>
      <c r="F180" s="1">
        <f>'Prepared Data'!A180</f>
        <v>800</v>
      </c>
    </row>
    <row r="181" spans="3:6" x14ac:dyDescent="0.2">
      <c r="C181">
        <f t="shared" si="6"/>
        <v>1039.2934782608695</v>
      </c>
      <c r="D181">
        <f t="shared" si="7"/>
        <v>1000</v>
      </c>
      <c r="E181">
        <f t="shared" si="8"/>
        <v>1200</v>
      </c>
      <c r="F181" s="1">
        <f>'Prepared Data'!A181</f>
        <v>1000</v>
      </c>
    </row>
    <row r="182" spans="3:6" x14ac:dyDescent="0.2">
      <c r="C182">
        <f t="shared" si="6"/>
        <v>1039.2934782608695</v>
      </c>
      <c r="D182">
        <f t="shared" si="7"/>
        <v>1000</v>
      </c>
      <c r="E182">
        <f t="shared" si="8"/>
        <v>1200</v>
      </c>
      <c r="F182" s="1">
        <f>'Prepared Data'!A182</f>
        <v>2000</v>
      </c>
    </row>
    <row r="183" spans="3:6" x14ac:dyDescent="0.2">
      <c r="C183">
        <f t="shared" si="6"/>
        <v>1039.2934782608695</v>
      </c>
      <c r="D183">
        <f t="shared" si="7"/>
        <v>1000</v>
      </c>
      <c r="E183">
        <f t="shared" si="8"/>
        <v>1200</v>
      </c>
      <c r="F183" s="1">
        <f>'Prepared Data'!A183</f>
        <v>800</v>
      </c>
    </row>
    <row r="184" spans="3:6" x14ac:dyDescent="0.2">
      <c r="C184">
        <f t="shared" si="6"/>
        <v>1039.2934782608695</v>
      </c>
      <c r="D184">
        <f t="shared" si="7"/>
        <v>1000</v>
      </c>
      <c r="E184">
        <f t="shared" si="8"/>
        <v>1200</v>
      </c>
      <c r="F184" s="1">
        <f>'Prepared Data'!A184</f>
        <v>2000</v>
      </c>
    </row>
    <row r="185" spans="3:6" x14ac:dyDescent="0.2">
      <c r="C185">
        <f t="shared" si="6"/>
        <v>1039.2934782608695</v>
      </c>
      <c r="D185">
        <f t="shared" si="7"/>
        <v>1000</v>
      </c>
      <c r="E185">
        <f t="shared" si="8"/>
        <v>1200</v>
      </c>
      <c r="F185" s="1">
        <f>'Prepared Data'!A185</f>
        <v>1500</v>
      </c>
    </row>
    <row r="186" spans="3:6" x14ac:dyDescent="0.2">
      <c r="C186">
        <f t="shared" si="6"/>
        <v>1039.2934782608695</v>
      </c>
      <c r="D186">
        <f t="shared" si="7"/>
        <v>1000</v>
      </c>
      <c r="E186">
        <f t="shared" si="8"/>
        <v>1200</v>
      </c>
      <c r="F186" s="1">
        <f>'Prepared Data'!A186</f>
        <v>700</v>
      </c>
    </row>
    <row r="187" spans="3:6" x14ac:dyDescent="0.2">
      <c r="C187">
        <f t="shared" si="6"/>
        <v>1039.2934782608695</v>
      </c>
      <c r="D187">
        <f t="shared" si="7"/>
        <v>1000</v>
      </c>
      <c r="E187">
        <f t="shared" si="8"/>
        <v>1200</v>
      </c>
      <c r="F187" s="1">
        <f>'Prepared Data'!A187</f>
        <v>1500</v>
      </c>
    </row>
    <row r="188" spans="3:6" x14ac:dyDescent="0.2">
      <c r="C188">
        <f t="shared" si="6"/>
        <v>1039.2934782608695</v>
      </c>
      <c r="D188">
        <f t="shared" si="7"/>
        <v>1000</v>
      </c>
      <c r="E188">
        <f t="shared" si="8"/>
        <v>1200</v>
      </c>
      <c r="F188" s="1">
        <f>'Prepared Data'!A188</f>
        <v>1200</v>
      </c>
    </row>
    <row r="189" spans="3:6" x14ac:dyDescent="0.2">
      <c r="C189">
        <f t="shared" si="6"/>
        <v>1039.2934782608695</v>
      </c>
      <c r="D189">
        <f t="shared" si="7"/>
        <v>1000</v>
      </c>
      <c r="E189">
        <f t="shared" si="8"/>
        <v>1200</v>
      </c>
      <c r="F189" s="1">
        <f>'Prepared Data'!A189</f>
        <v>1800</v>
      </c>
    </row>
    <row r="190" spans="3:6" x14ac:dyDescent="0.2">
      <c r="C190">
        <f t="shared" si="6"/>
        <v>1039.2934782608695</v>
      </c>
      <c r="D190">
        <f t="shared" si="7"/>
        <v>1000</v>
      </c>
      <c r="E190">
        <f t="shared" si="8"/>
        <v>1200</v>
      </c>
      <c r="F190" s="1">
        <f>'Prepared Data'!A190</f>
        <v>1200</v>
      </c>
    </row>
    <row r="191" spans="3:6" x14ac:dyDescent="0.2">
      <c r="C191">
        <f t="shared" si="6"/>
        <v>1039.2934782608695</v>
      </c>
      <c r="D191">
        <f t="shared" si="7"/>
        <v>1000</v>
      </c>
      <c r="E191">
        <f t="shared" si="8"/>
        <v>1200</v>
      </c>
      <c r="F191" s="1">
        <f>'Prepared Data'!A191</f>
        <v>1200</v>
      </c>
    </row>
    <row r="192" spans="3:6" x14ac:dyDescent="0.2">
      <c r="C192">
        <f t="shared" si="6"/>
        <v>1039.2934782608695</v>
      </c>
      <c r="D192">
        <f t="shared" si="7"/>
        <v>1000</v>
      </c>
      <c r="E192">
        <f t="shared" si="8"/>
        <v>1200</v>
      </c>
      <c r="F192" s="1">
        <f>'Prepared Data'!A192</f>
        <v>800</v>
      </c>
    </row>
    <row r="193" spans="3:6" x14ac:dyDescent="0.2">
      <c r="C193">
        <f t="shared" si="6"/>
        <v>1039.2934782608695</v>
      </c>
      <c r="D193">
        <f t="shared" si="7"/>
        <v>1000</v>
      </c>
      <c r="E193">
        <f t="shared" si="8"/>
        <v>1200</v>
      </c>
      <c r="F193" s="1">
        <f>'Prepared Data'!A193</f>
        <v>1500</v>
      </c>
    </row>
    <row r="194" spans="3:6" x14ac:dyDescent="0.2">
      <c r="C194">
        <f t="shared" si="6"/>
        <v>1039.2934782608695</v>
      </c>
      <c r="D194">
        <f t="shared" si="7"/>
        <v>1000</v>
      </c>
      <c r="E194">
        <f t="shared" si="8"/>
        <v>1200</v>
      </c>
      <c r="F194" s="1">
        <f>'Prepared Data'!A194</f>
        <v>1100</v>
      </c>
    </row>
    <row r="195" spans="3:6" x14ac:dyDescent="0.2">
      <c r="C195">
        <f t="shared" ref="C195:C258" si="9">$B$5</f>
        <v>1039.2934782608695</v>
      </c>
      <c r="D195">
        <f t="shared" ref="D195:D258" si="10">$B$6</f>
        <v>1000</v>
      </c>
      <c r="E195">
        <f t="shared" ref="E195:E258" si="11">$B$7</f>
        <v>1200</v>
      </c>
      <c r="F195" s="1">
        <f>'Prepared Data'!A195</f>
        <v>800</v>
      </c>
    </row>
    <row r="196" spans="3:6" x14ac:dyDescent="0.2">
      <c r="C196">
        <f t="shared" si="9"/>
        <v>1039.2934782608695</v>
      </c>
      <c r="D196">
        <f t="shared" si="10"/>
        <v>1000</v>
      </c>
      <c r="E196">
        <f t="shared" si="11"/>
        <v>1200</v>
      </c>
      <c r="F196" s="1">
        <f>'Prepared Data'!A196</f>
        <v>2000</v>
      </c>
    </row>
    <row r="197" spans="3:6" x14ac:dyDescent="0.2">
      <c r="C197">
        <f t="shared" si="9"/>
        <v>1039.2934782608695</v>
      </c>
      <c r="D197">
        <f t="shared" si="10"/>
        <v>1000</v>
      </c>
      <c r="E197">
        <f t="shared" si="11"/>
        <v>1200</v>
      </c>
      <c r="F197" s="1">
        <f>'Prepared Data'!A197</f>
        <v>1200</v>
      </c>
    </row>
    <row r="198" spans="3:6" x14ac:dyDescent="0.2">
      <c r="C198">
        <f t="shared" si="9"/>
        <v>1039.2934782608695</v>
      </c>
      <c r="D198">
        <f t="shared" si="10"/>
        <v>1000</v>
      </c>
      <c r="E198">
        <f t="shared" si="11"/>
        <v>1200</v>
      </c>
      <c r="F198" s="1">
        <f>'Prepared Data'!A198</f>
        <v>1500</v>
      </c>
    </row>
    <row r="199" spans="3:6" x14ac:dyDescent="0.2">
      <c r="C199">
        <f t="shared" si="9"/>
        <v>1039.2934782608695</v>
      </c>
      <c r="D199">
        <f t="shared" si="10"/>
        <v>1000</v>
      </c>
      <c r="E199">
        <f t="shared" si="11"/>
        <v>1200</v>
      </c>
      <c r="F199" s="1">
        <f>'Prepared Data'!A199</f>
        <v>1500</v>
      </c>
    </row>
    <row r="200" spans="3:6" x14ac:dyDescent="0.2">
      <c r="C200">
        <f t="shared" si="9"/>
        <v>1039.2934782608695</v>
      </c>
      <c r="D200">
        <f t="shared" si="10"/>
        <v>1000</v>
      </c>
      <c r="E200">
        <f t="shared" si="11"/>
        <v>1200</v>
      </c>
      <c r="F200" s="1">
        <f>'Prepared Data'!A200</f>
        <v>1000</v>
      </c>
    </row>
    <row r="201" spans="3:6" x14ac:dyDescent="0.2">
      <c r="C201">
        <f t="shared" si="9"/>
        <v>1039.2934782608695</v>
      </c>
      <c r="D201">
        <f t="shared" si="10"/>
        <v>1000</v>
      </c>
      <c r="E201">
        <f t="shared" si="11"/>
        <v>1200</v>
      </c>
      <c r="F201" s="1">
        <f>'Prepared Data'!A201</f>
        <v>1600</v>
      </c>
    </row>
    <row r="202" spans="3:6" x14ac:dyDescent="0.2">
      <c r="C202">
        <f t="shared" si="9"/>
        <v>1039.2934782608695</v>
      </c>
      <c r="D202">
        <f t="shared" si="10"/>
        <v>1000</v>
      </c>
      <c r="E202">
        <f t="shared" si="11"/>
        <v>1200</v>
      </c>
      <c r="F202" s="1">
        <f>'Prepared Data'!A202</f>
        <v>2500</v>
      </c>
    </row>
    <row r="203" spans="3:6" x14ac:dyDescent="0.2">
      <c r="C203">
        <f t="shared" si="9"/>
        <v>1039.2934782608695</v>
      </c>
      <c r="D203">
        <f t="shared" si="10"/>
        <v>1000</v>
      </c>
      <c r="E203">
        <f t="shared" si="11"/>
        <v>1200</v>
      </c>
      <c r="F203" s="1">
        <f>'Prepared Data'!A203</f>
        <v>1750</v>
      </c>
    </row>
    <row r="204" spans="3:6" x14ac:dyDescent="0.2">
      <c r="C204">
        <f t="shared" si="9"/>
        <v>1039.2934782608695</v>
      </c>
      <c r="D204">
        <f t="shared" si="10"/>
        <v>1000</v>
      </c>
      <c r="E204">
        <f t="shared" si="11"/>
        <v>1200</v>
      </c>
      <c r="F204" s="1">
        <f>'Prepared Data'!A204</f>
        <v>1300</v>
      </c>
    </row>
    <row r="205" spans="3:6" x14ac:dyDescent="0.2">
      <c r="C205">
        <f t="shared" si="9"/>
        <v>1039.2934782608695</v>
      </c>
      <c r="D205">
        <f t="shared" si="10"/>
        <v>1000</v>
      </c>
      <c r="E205">
        <f t="shared" si="11"/>
        <v>1200</v>
      </c>
      <c r="F205" s="1">
        <f>'Prepared Data'!A205</f>
        <v>900</v>
      </c>
    </row>
    <row r="206" spans="3:6" x14ac:dyDescent="0.2">
      <c r="C206">
        <f t="shared" si="9"/>
        <v>1039.2934782608695</v>
      </c>
      <c r="D206">
        <f t="shared" si="10"/>
        <v>1000</v>
      </c>
      <c r="E206">
        <f t="shared" si="11"/>
        <v>1200</v>
      </c>
      <c r="F206" s="1">
        <f>'Prepared Data'!A206</f>
        <v>1200</v>
      </c>
    </row>
    <row r="207" spans="3:6" x14ac:dyDescent="0.2">
      <c r="C207">
        <f t="shared" si="9"/>
        <v>1039.2934782608695</v>
      </c>
      <c r="D207">
        <f t="shared" si="10"/>
        <v>1000</v>
      </c>
      <c r="E207">
        <f t="shared" si="11"/>
        <v>1200</v>
      </c>
      <c r="F207" s="1">
        <f>'Prepared Data'!A207</f>
        <v>1100</v>
      </c>
    </row>
    <row r="208" spans="3:6" x14ac:dyDescent="0.2">
      <c r="C208">
        <f t="shared" si="9"/>
        <v>1039.2934782608695</v>
      </c>
      <c r="D208">
        <f t="shared" si="10"/>
        <v>1000</v>
      </c>
      <c r="E208">
        <f t="shared" si="11"/>
        <v>1200</v>
      </c>
      <c r="F208" s="1">
        <f>'Prepared Data'!A208</f>
        <v>700</v>
      </c>
    </row>
    <row r="209" spans="3:6" x14ac:dyDescent="0.2">
      <c r="C209">
        <f t="shared" si="9"/>
        <v>1039.2934782608695</v>
      </c>
      <c r="D209">
        <f t="shared" si="10"/>
        <v>1000</v>
      </c>
      <c r="E209">
        <f t="shared" si="11"/>
        <v>1200</v>
      </c>
      <c r="F209" s="1">
        <f>'Prepared Data'!A209</f>
        <v>1500</v>
      </c>
    </row>
    <row r="210" spans="3:6" x14ac:dyDescent="0.2">
      <c r="C210">
        <f t="shared" si="9"/>
        <v>1039.2934782608695</v>
      </c>
      <c r="D210">
        <f t="shared" si="10"/>
        <v>1000</v>
      </c>
      <c r="E210">
        <f t="shared" si="11"/>
        <v>1200</v>
      </c>
      <c r="F210" s="1">
        <f>'Prepared Data'!A210</f>
        <v>1500</v>
      </c>
    </row>
    <row r="211" spans="3:6" x14ac:dyDescent="0.2">
      <c r="C211">
        <f t="shared" si="9"/>
        <v>1039.2934782608695</v>
      </c>
      <c r="D211">
        <f t="shared" si="10"/>
        <v>1000</v>
      </c>
      <c r="E211">
        <f t="shared" si="11"/>
        <v>1200</v>
      </c>
      <c r="F211" s="1">
        <f>'Prepared Data'!A211</f>
        <v>1100</v>
      </c>
    </row>
    <row r="212" spans="3:6" x14ac:dyDescent="0.2">
      <c r="C212">
        <f t="shared" si="9"/>
        <v>1039.2934782608695</v>
      </c>
      <c r="D212">
        <f t="shared" si="10"/>
        <v>1000</v>
      </c>
      <c r="E212">
        <f t="shared" si="11"/>
        <v>1200</v>
      </c>
      <c r="F212" s="1">
        <f>'Prepared Data'!A212</f>
        <v>1000</v>
      </c>
    </row>
    <row r="213" spans="3:6" x14ac:dyDescent="0.2">
      <c r="C213">
        <f t="shared" si="9"/>
        <v>1039.2934782608695</v>
      </c>
      <c r="D213">
        <f t="shared" si="10"/>
        <v>1000</v>
      </c>
      <c r="E213">
        <f t="shared" si="11"/>
        <v>1200</v>
      </c>
      <c r="F213" s="1">
        <f>'Prepared Data'!A213</f>
        <v>600</v>
      </c>
    </row>
    <row r="214" spans="3:6" x14ac:dyDescent="0.2">
      <c r="C214">
        <f t="shared" si="9"/>
        <v>1039.2934782608695</v>
      </c>
      <c r="D214">
        <f t="shared" si="10"/>
        <v>1000</v>
      </c>
      <c r="E214">
        <f t="shared" si="11"/>
        <v>1200</v>
      </c>
      <c r="F214" s="1">
        <f>'Prepared Data'!A214</f>
        <v>1000</v>
      </c>
    </row>
    <row r="215" spans="3:6" x14ac:dyDescent="0.2">
      <c r="C215">
        <f t="shared" si="9"/>
        <v>1039.2934782608695</v>
      </c>
      <c r="D215">
        <f t="shared" si="10"/>
        <v>1000</v>
      </c>
      <c r="E215">
        <f t="shared" si="11"/>
        <v>1200</v>
      </c>
      <c r="F215" s="1">
        <f>'Prepared Data'!A215</f>
        <v>1500</v>
      </c>
    </row>
    <row r="216" spans="3:6" x14ac:dyDescent="0.2">
      <c r="C216">
        <f t="shared" si="9"/>
        <v>1039.2934782608695</v>
      </c>
      <c r="D216">
        <f t="shared" si="10"/>
        <v>1000</v>
      </c>
      <c r="E216">
        <f t="shared" si="11"/>
        <v>1200</v>
      </c>
      <c r="F216" s="1">
        <f>'Prepared Data'!A216</f>
        <v>1700</v>
      </c>
    </row>
    <row r="217" spans="3:6" x14ac:dyDescent="0.2">
      <c r="C217">
        <f t="shared" si="9"/>
        <v>1039.2934782608695</v>
      </c>
      <c r="D217">
        <f t="shared" si="10"/>
        <v>1000</v>
      </c>
      <c r="E217">
        <f t="shared" si="11"/>
        <v>1200</v>
      </c>
      <c r="F217" s="1">
        <f>'Prepared Data'!A217</f>
        <v>1200</v>
      </c>
    </row>
    <row r="218" spans="3:6" x14ac:dyDescent="0.2">
      <c r="C218">
        <f t="shared" si="9"/>
        <v>1039.2934782608695</v>
      </c>
      <c r="D218">
        <f t="shared" si="10"/>
        <v>1000</v>
      </c>
      <c r="E218">
        <f t="shared" si="11"/>
        <v>1200</v>
      </c>
      <c r="F218" s="1">
        <f>'Prepared Data'!A218</f>
        <v>1500</v>
      </c>
    </row>
    <row r="219" spans="3:6" x14ac:dyDescent="0.2">
      <c r="C219">
        <f t="shared" si="9"/>
        <v>1039.2934782608695</v>
      </c>
      <c r="D219">
        <f t="shared" si="10"/>
        <v>1000</v>
      </c>
      <c r="E219">
        <f t="shared" si="11"/>
        <v>1200</v>
      </c>
      <c r="F219" s="1">
        <f>'Prepared Data'!A219</f>
        <v>1200</v>
      </c>
    </row>
    <row r="220" spans="3:6" x14ac:dyDescent="0.2">
      <c r="C220">
        <f t="shared" si="9"/>
        <v>1039.2934782608695</v>
      </c>
      <c r="D220">
        <f t="shared" si="10"/>
        <v>1000</v>
      </c>
      <c r="E220">
        <f t="shared" si="11"/>
        <v>1200</v>
      </c>
      <c r="F220" s="1">
        <f>'Prepared Data'!A220</f>
        <v>1300</v>
      </c>
    </row>
    <row r="221" spans="3:6" x14ac:dyDescent="0.2">
      <c r="C221">
        <f t="shared" si="9"/>
        <v>1039.2934782608695</v>
      </c>
      <c r="D221">
        <f t="shared" si="10"/>
        <v>1000</v>
      </c>
      <c r="E221">
        <f t="shared" si="11"/>
        <v>1200</v>
      </c>
      <c r="F221" s="1">
        <f>'Prepared Data'!A221</f>
        <v>1000</v>
      </c>
    </row>
    <row r="222" spans="3:6" x14ac:dyDescent="0.2">
      <c r="C222">
        <f t="shared" si="9"/>
        <v>1039.2934782608695</v>
      </c>
      <c r="D222">
        <f t="shared" si="10"/>
        <v>1000</v>
      </c>
      <c r="E222">
        <f t="shared" si="11"/>
        <v>1200</v>
      </c>
      <c r="F222" s="1">
        <f>'Prepared Data'!A222</f>
        <v>2000</v>
      </c>
    </row>
    <row r="223" spans="3:6" x14ac:dyDescent="0.2">
      <c r="C223">
        <f t="shared" si="9"/>
        <v>1039.2934782608695</v>
      </c>
      <c r="D223">
        <f t="shared" si="10"/>
        <v>1000</v>
      </c>
      <c r="E223">
        <f t="shared" si="11"/>
        <v>1200</v>
      </c>
      <c r="F223" s="1">
        <f>'Prepared Data'!A223</f>
        <v>1500</v>
      </c>
    </row>
    <row r="224" spans="3:6" x14ac:dyDescent="0.2">
      <c r="C224">
        <f t="shared" si="9"/>
        <v>1039.2934782608695</v>
      </c>
      <c r="D224">
        <f t="shared" si="10"/>
        <v>1000</v>
      </c>
      <c r="E224">
        <f t="shared" si="11"/>
        <v>1200</v>
      </c>
      <c r="F224" s="1">
        <f>'Prepared Data'!A224</f>
        <v>2500</v>
      </c>
    </row>
    <row r="225" spans="3:6" x14ac:dyDescent="0.2">
      <c r="C225">
        <f t="shared" si="9"/>
        <v>1039.2934782608695</v>
      </c>
      <c r="D225">
        <f t="shared" si="10"/>
        <v>1000</v>
      </c>
      <c r="E225">
        <f t="shared" si="11"/>
        <v>1200</v>
      </c>
      <c r="F225" s="1">
        <f>'Prepared Data'!A225</f>
        <v>950</v>
      </c>
    </row>
    <row r="226" spans="3:6" x14ac:dyDescent="0.2">
      <c r="C226">
        <f t="shared" si="9"/>
        <v>1039.2934782608695</v>
      </c>
      <c r="D226">
        <f t="shared" si="10"/>
        <v>1000</v>
      </c>
      <c r="E226">
        <f t="shared" si="11"/>
        <v>1200</v>
      </c>
      <c r="F226" s="1">
        <f>'Prepared Data'!A226</f>
        <v>1200</v>
      </c>
    </row>
    <row r="227" spans="3:6" x14ac:dyDescent="0.2">
      <c r="C227">
        <f t="shared" si="9"/>
        <v>1039.2934782608695</v>
      </c>
      <c r="D227">
        <f t="shared" si="10"/>
        <v>1000</v>
      </c>
      <c r="E227">
        <f t="shared" si="11"/>
        <v>1200</v>
      </c>
      <c r="F227" s="1">
        <f>'Prepared Data'!A227</f>
        <v>1500</v>
      </c>
    </row>
    <row r="228" spans="3:6" x14ac:dyDescent="0.2">
      <c r="C228">
        <f t="shared" si="9"/>
        <v>1039.2934782608695</v>
      </c>
      <c r="D228">
        <f t="shared" si="10"/>
        <v>1000</v>
      </c>
      <c r="E228">
        <f t="shared" si="11"/>
        <v>1200</v>
      </c>
      <c r="F228" s="1">
        <f>'Prepared Data'!A228</f>
        <v>2400</v>
      </c>
    </row>
    <row r="229" spans="3:6" x14ac:dyDescent="0.2">
      <c r="C229">
        <f t="shared" si="9"/>
        <v>1039.2934782608695</v>
      </c>
      <c r="D229">
        <f t="shared" si="10"/>
        <v>1000</v>
      </c>
      <c r="E229">
        <f t="shared" si="11"/>
        <v>1200</v>
      </c>
      <c r="F229" s="1">
        <f>'Prepared Data'!A229</f>
        <v>1000</v>
      </c>
    </row>
    <row r="230" spans="3:6" x14ac:dyDescent="0.2">
      <c r="C230">
        <f t="shared" si="9"/>
        <v>1039.2934782608695</v>
      </c>
      <c r="D230">
        <f t="shared" si="10"/>
        <v>1000</v>
      </c>
      <c r="E230">
        <f t="shared" si="11"/>
        <v>1200</v>
      </c>
      <c r="F230" s="1">
        <f>'Prepared Data'!A230</f>
        <v>1000</v>
      </c>
    </row>
    <row r="231" spans="3:6" x14ac:dyDescent="0.2">
      <c r="C231">
        <f t="shared" si="9"/>
        <v>1039.2934782608695</v>
      </c>
      <c r="D231">
        <f t="shared" si="10"/>
        <v>1000</v>
      </c>
      <c r="E231">
        <f t="shared" si="11"/>
        <v>1200</v>
      </c>
      <c r="F231" s="1">
        <f>'Prepared Data'!A231</f>
        <v>1200</v>
      </c>
    </row>
    <row r="232" spans="3:6" x14ac:dyDescent="0.2">
      <c r="C232">
        <f t="shared" si="9"/>
        <v>1039.2934782608695</v>
      </c>
      <c r="D232">
        <f t="shared" si="10"/>
        <v>1000</v>
      </c>
      <c r="E232">
        <f t="shared" si="11"/>
        <v>1200</v>
      </c>
      <c r="F232" s="1">
        <f>'Prepared Data'!A232</f>
        <v>1600</v>
      </c>
    </row>
    <row r="233" spans="3:6" x14ac:dyDescent="0.2">
      <c r="C233">
        <f t="shared" si="9"/>
        <v>1039.2934782608695</v>
      </c>
      <c r="D233">
        <f t="shared" si="10"/>
        <v>1000</v>
      </c>
      <c r="E233">
        <f t="shared" si="11"/>
        <v>1200</v>
      </c>
      <c r="F233" s="1">
        <f>'Prepared Data'!A233</f>
        <v>1600</v>
      </c>
    </row>
    <row r="234" spans="3:6" x14ac:dyDescent="0.2">
      <c r="C234">
        <f t="shared" si="9"/>
        <v>1039.2934782608695</v>
      </c>
      <c r="D234">
        <f t="shared" si="10"/>
        <v>1000</v>
      </c>
      <c r="E234">
        <f t="shared" si="11"/>
        <v>1200</v>
      </c>
      <c r="F234" s="1">
        <f>'Prepared Data'!A234</f>
        <v>1600</v>
      </c>
    </row>
    <row r="235" spans="3:6" x14ac:dyDescent="0.2">
      <c r="C235">
        <f t="shared" si="9"/>
        <v>1039.2934782608695</v>
      </c>
      <c r="D235">
        <f t="shared" si="10"/>
        <v>1000</v>
      </c>
      <c r="E235">
        <f t="shared" si="11"/>
        <v>1200</v>
      </c>
      <c r="F235" s="1">
        <f>'Prepared Data'!A235</f>
        <v>1200</v>
      </c>
    </row>
    <row r="236" spans="3:6" x14ac:dyDescent="0.2">
      <c r="C236">
        <f t="shared" si="9"/>
        <v>1039.2934782608695</v>
      </c>
      <c r="D236">
        <f t="shared" si="10"/>
        <v>1000</v>
      </c>
      <c r="E236">
        <f t="shared" si="11"/>
        <v>1200</v>
      </c>
      <c r="F236" s="1">
        <f>'Prepared Data'!A236</f>
        <v>1100</v>
      </c>
    </row>
    <row r="237" spans="3:6" x14ac:dyDescent="0.2">
      <c r="C237">
        <f t="shared" si="9"/>
        <v>1039.2934782608695</v>
      </c>
      <c r="D237">
        <f t="shared" si="10"/>
        <v>1000</v>
      </c>
      <c r="E237">
        <f t="shared" si="11"/>
        <v>1200</v>
      </c>
      <c r="F237" s="1">
        <f>'Prepared Data'!A237</f>
        <v>1500</v>
      </c>
    </row>
    <row r="238" spans="3:6" x14ac:dyDescent="0.2">
      <c r="C238">
        <f t="shared" si="9"/>
        <v>1039.2934782608695</v>
      </c>
      <c r="D238">
        <f t="shared" si="10"/>
        <v>1000</v>
      </c>
      <c r="E238">
        <f t="shared" si="11"/>
        <v>1200</v>
      </c>
      <c r="F238" s="1">
        <f>'Prepared Data'!A238</f>
        <v>1500</v>
      </c>
    </row>
    <row r="239" spans="3:6" x14ac:dyDescent="0.2">
      <c r="C239">
        <f t="shared" si="9"/>
        <v>1039.2934782608695</v>
      </c>
      <c r="D239">
        <f t="shared" si="10"/>
        <v>1000</v>
      </c>
      <c r="E239">
        <f t="shared" si="11"/>
        <v>1200</v>
      </c>
      <c r="F239" s="1">
        <f>'Prepared Data'!A239</f>
        <v>800</v>
      </c>
    </row>
    <row r="240" spans="3:6" x14ac:dyDescent="0.2">
      <c r="C240">
        <f t="shared" si="9"/>
        <v>1039.2934782608695</v>
      </c>
      <c r="D240">
        <f t="shared" si="10"/>
        <v>1000</v>
      </c>
      <c r="E240">
        <f t="shared" si="11"/>
        <v>1200</v>
      </c>
      <c r="F240" s="1">
        <f>'Prepared Data'!A240</f>
        <v>800</v>
      </c>
    </row>
    <row r="241" spans="3:6" x14ac:dyDescent="0.2">
      <c r="C241">
        <f t="shared" si="9"/>
        <v>1039.2934782608695</v>
      </c>
      <c r="D241">
        <f t="shared" si="10"/>
        <v>1000</v>
      </c>
      <c r="E241">
        <f t="shared" si="11"/>
        <v>1200</v>
      </c>
      <c r="F241" s="1">
        <f>'Prepared Data'!A241</f>
        <v>3000</v>
      </c>
    </row>
    <row r="242" spans="3:6" x14ac:dyDescent="0.2">
      <c r="C242">
        <f t="shared" si="9"/>
        <v>1039.2934782608695</v>
      </c>
      <c r="D242">
        <f t="shared" si="10"/>
        <v>1000</v>
      </c>
      <c r="E242">
        <f t="shared" si="11"/>
        <v>1200</v>
      </c>
      <c r="F242" s="1">
        <f>'Prepared Data'!A242</f>
        <v>2000</v>
      </c>
    </row>
    <row r="243" spans="3:6" x14ac:dyDescent="0.2">
      <c r="C243">
        <f t="shared" si="9"/>
        <v>1039.2934782608695</v>
      </c>
      <c r="D243">
        <f t="shared" si="10"/>
        <v>1000</v>
      </c>
      <c r="E243">
        <f t="shared" si="11"/>
        <v>1200</v>
      </c>
      <c r="F243" s="1">
        <f>'Prepared Data'!A243</f>
        <v>1000</v>
      </c>
    </row>
    <row r="244" spans="3:6" x14ac:dyDescent="0.2">
      <c r="C244">
        <f t="shared" si="9"/>
        <v>1039.2934782608695</v>
      </c>
      <c r="D244">
        <f t="shared" si="10"/>
        <v>1000</v>
      </c>
      <c r="E244">
        <f t="shared" si="11"/>
        <v>1200</v>
      </c>
      <c r="F244" s="1">
        <f>'Prepared Data'!A244</f>
        <v>1500</v>
      </c>
    </row>
    <row r="245" spans="3:6" x14ac:dyDescent="0.2">
      <c r="C245">
        <f t="shared" si="9"/>
        <v>1039.2934782608695</v>
      </c>
      <c r="D245">
        <f t="shared" si="10"/>
        <v>1000</v>
      </c>
      <c r="E245">
        <f t="shared" si="11"/>
        <v>1200</v>
      </c>
      <c r="F245" s="1">
        <f>'Prepared Data'!A245</f>
        <v>1600</v>
      </c>
    </row>
    <row r="246" spans="3:6" x14ac:dyDescent="0.2">
      <c r="C246">
        <f t="shared" si="9"/>
        <v>1039.2934782608695</v>
      </c>
      <c r="D246">
        <f t="shared" si="10"/>
        <v>1000</v>
      </c>
      <c r="E246">
        <f t="shared" si="11"/>
        <v>1200</v>
      </c>
      <c r="F246" s="1">
        <f>'Prepared Data'!A246</f>
        <v>700</v>
      </c>
    </row>
    <row r="247" spans="3:6" x14ac:dyDescent="0.2">
      <c r="C247">
        <f t="shared" si="9"/>
        <v>1039.2934782608695</v>
      </c>
      <c r="D247">
        <f t="shared" si="10"/>
        <v>1000</v>
      </c>
      <c r="E247">
        <f t="shared" si="11"/>
        <v>1200</v>
      </c>
      <c r="F247" s="1">
        <f>'Prepared Data'!A247</f>
        <v>1500</v>
      </c>
    </row>
    <row r="248" spans="3:6" x14ac:dyDescent="0.2">
      <c r="C248">
        <f t="shared" si="9"/>
        <v>1039.2934782608695</v>
      </c>
      <c r="D248">
        <f t="shared" si="10"/>
        <v>1000</v>
      </c>
      <c r="E248">
        <f t="shared" si="11"/>
        <v>1200</v>
      </c>
      <c r="F248" s="1">
        <f>'Prepared Data'!A248</f>
        <v>1500</v>
      </c>
    </row>
    <row r="249" spans="3:6" x14ac:dyDescent="0.2">
      <c r="C249">
        <f t="shared" si="9"/>
        <v>1039.2934782608695</v>
      </c>
      <c r="D249">
        <f t="shared" si="10"/>
        <v>1000</v>
      </c>
      <c r="E249">
        <f t="shared" si="11"/>
        <v>1200</v>
      </c>
      <c r="F249" s="1">
        <f>'Prepared Data'!A249</f>
        <v>1300</v>
      </c>
    </row>
    <row r="250" spans="3:6" x14ac:dyDescent="0.2">
      <c r="C250">
        <f t="shared" si="9"/>
        <v>1039.2934782608695</v>
      </c>
      <c r="D250">
        <f t="shared" si="10"/>
        <v>1000</v>
      </c>
      <c r="E250">
        <f t="shared" si="11"/>
        <v>1200</v>
      </c>
      <c r="F250" s="1">
        <f>'Prepared Data'!A250</f>
        <v>1010</v>
      </c>
    </row>
    <row r="251" spans="3:6" x14ac:dyDescent="0.2">
      <c r="C251">
        <f t="shared" si="9"/>
        <v>1039.2934782608695</v>
      </c>
      <c r="D251">
        <f t="shared" si="10"/>
        <v>1000</v>
      </c>
      <c r="E251">
        <f t="shared" si="11"/>
        <v>1200</v>
      </c>
      <c r="F251" s="1">
        <f>'Prepared Data'!A251</f>
        <v>4109</v>
      </c>
    </row>
    <row r="252" spans="3:6" x14ac:dyDescent="0.2">
      <c r="C252">
        <f t="shared" si="9"/>
        <v>1039.2934782608695</v>
      </c>
      <c r="D252">
        <f t="shared" si="10"/>
        <v>1000</v>
      </c>
      <c r="E252">
        <f t="shared" si="11"/>
        <v>1200</v>
      </c>
      <c r="F252" s="1">
        <f>'Prepared Data'!A252</f>
        <v>900</v>
      </c>
    </row>
    <row r="253" spans="3:6" x14ac:dyDescent="0.2">
      <c r="C253">
        <f t="shared" si="9"/>
        <v>1039.2934782608695</v>
      </c>
      <c r="D253">
        <f t="shared" si="10"/>
        <v>1000</v>
      </c>
      <c r="E253">
        <f t="shared" si="11"/>
        <v>1200</v>
      </c>
      <c r="F253" s="1">
        <f>'Prepared Data'!A253</f>
        <v>4109</v>
      </c>
    </row>
    <row r="254" spans="3:6" x14ac:dyDescent="0.2">
      <c r="C254">
        <f t="shared" si="9"/>
        <v>1039.2934782608695</v>
      </c>
      <c r="D254">
        <f t="shared" si="10"/>
        <v>1000</v>
      </c>
      <c r="E254">
        <f t="shared" si="11"/>
        <v>1200</v>
      </c>
      <c r="F254" s="1">
        <f>'Prepared Data'!A254</f>
        <v>1020</v>
      </c>
    </row>
    <row r="255" spans="3:6" x14ac:dyDescent="0.2">
      <c r="C255">
        <f t="shared" si="9"/>
        <v>1039.2934782608695</v>
      </c>
      <c r="D255">
        <f t="shared" si="10"/>
        <v>1000</v>
      </c>
      <c r="E255">
        <f t="shared" si="11"/>
        <v>1200</v>
      </c>
      <c r="F255" s="1">
        <f>'Prepared Data'!A255</f>
        <v>1400</v>
      </c>
    </row>
    <row r="256" spans="3:6" x14ac:dyDescent="0.2">
      <c r="C256">
        <f t="shared" si="9"/>
        <v>1039.2934782608695</v>
      </c>
      <c r="D256">
        <f t="shared" si="10"/>
        <v>1000</v>
      </c>
      <c r="E256">
        <f t="shared" si="11"/>
        <v>1200</v>
      </c>
      <c r="F256" s="1">
        <f>'Prepared Data'!A256</f>
        <v>600</v>
      </c>
    </row>
    <row r="257" spans="3:6" x14ac:dyDescent="0.2">
      <c r="C257">
        <f t="shared" si="9"/>
        <v>1039.2934782608695</v>
      </c>
      <c r="D257">
        <f t="shared" si="10"/>
        <v>1000</v>
      </c>
      <c r="E257">
        <f t="shared" si="11"/>
        <v>1200</v>
      </c>
      <c r="F257" s="1">
        <f>'Prepared Data'!A257</f>
        <v>1600</v>
      </c>
    </row>
    <row r="258" spans="3:6" x14ac:dyDescent="0.2">
      <c r="C258">
        <f t="shared" si="9"/>
        <v>1039.2934782608695</v>
      </c>
      <c r="D258">
        <f t="shared" si="10"/>
        <v>1000</v>
      </c>
      <c r="E258">
        <f t="shared" si="11"/>
        <v>1200</v>
      </c>
      <c r="F258" s="1">
        <f>'Prepared Data'!A258</f>
        <v>3000</v>
      </c>
    </row>
    <row r="259" spans="3:6" x14ac:dyDescent="0.2">
      <c r="C259">
        <f t="shared" ref="C259:C322" si="12">$B$5</f>
        <v>1039.2934782608695</v>
      </c>
      <c r="D259">
        <f t="shared" ref="D259:D322" si="13">$B$6</f>
        <v>1000</v>
      </c>
      <c r="E259">
        <f t="shared" ref="E259:E322" si="14">$B$7</f>
        <v>1200</v>
      </c>
      <c r="F259" s="1">
        <f>'Prepared Data'!A259</f>
        <v>100</v>
      </c>
    </row>
    <row r="260" spans="3:6" x14ac:dyDescent="0.2">
      <c r="C260">
        <f t="shared" si="12"/>
        <v>1039.2934782608695</v>
      </c>
      <c r="D260">
        <f t="shared" si="13"/>
        <v>1000</v>
      </c>
      <c r="E260">
        <f t="shared" si="14"/>
        <v>1200</v>
      </c>
      <c r="F260" s="1">
        <f>'Prepared Data'!A260</f>
        <v>750</v>
      </c>
    </row>
    <row r="261" spans="3:6" x14ac:dyDescent="0.2">
      <c r="C261">
        <f t="shared" si="12"/>
        <v>1039.2934782608695</v>
      </c>
      <c r="D261">
        <f t="shared" si="13"/>
        <v>1000</v>
      </c>
      <c r="E261">
        <f t="shared" si="14"/>
        <v>1200</v>
      </c>
      <c r="F261" s="1">
        <f>'Prepared Data'!A261</f>
        <v>1000</v>
      </c>
    </row>
    <row r="262" spans="3:6" x14ac:dyDescent="0.2">
      <c r="C262">
        <f t="shared" si="12"/>
        <v>1039.2934782608695</v>
      </c>
      <c r="D262">
        <f t="shared" si="13"/>
        <v>1000</v>
      </c>
      <c r="E262">
        <f t="shared" si="14"/>
        <v>1200</v>
      </c>
      <c r="F262" s="1">
        <f>'Prepared Data'!A262</f>
        <v>1200</v>
      </c>
    </row>
    <row r="263" spans="3:6" x14ac:dyDescent="0.2">
      <c r="C263">
        <f t="shared" si="12"/>
        <v>1039.2934782608695</v>
      </c>
      <c r="D263">
        <f t="shared" si="13"/>
        <v>1000</v>
      </c>
      <c r="E263">
        <f t="shared" si="14"/>
        <v>1200</v>
      </c>
      <c r="F263" s="1">
        <f>'Prepared Data'!A263</f>
        <v>2450</v>
      </c>
    </row>
    <row r="264" spans="3:6" x14ac:dyDescent="0.2">
      <c r="C264">
        <f t="shared" si="12"/>
        <v>1039.2934782608695</v>
      </c>
      <c r="D264">
        <f t="shared" si="13"/>
        <v>1000</v>
      </c>
      <c r="E264">
        <f t="shared" si="14"/>
        <v>1200</v>
      </c>
      <c r="F264" s="1">
        <f>'Prepared Data'!A264</f>
        <v>800</v>
      </c>
    </row>
    <row r="265" spans="3:6" x14ac:dyDescent="0.2">
      <c r="C265">
        <f t="shared" si="12"/>
        <v>1039.2934782608695</v>
      </c>
      <c r="D265">
        <f t="shared" si="13"/>
        <v>1000</v>
      </c>
      <c r="E265">
        <f t="shared" si="14"/>
        <v>1200</v>
      </c>
      <c r="F265" s="1">
        <f>'Prepared Data'!A265</f>
        <v>1000</v>
      </c>
    </row>
    <row r="266" spans="3:6" x14ac:dyDescent="0.2">
      <c r="C266">
        <f t="shared" si="12"/>
        <v>1039.2934782608695</v>
      </c>
      <c r="D266">
        <f t="shared" si="13"/>
        <v>1000</v>
      </c>
      <c r="E266">
        <f t="shared" si="14"/>
        <v>1200</v>
      </c>
      <c r="F266" s="1">
        <f>'Prepared Data'!A266</f>
        <v>1100</v>
      </c>
    </row>
    <row r="267" spans="3:6" x14ac:dyDescent="0.2">
      <c r="C267">
        <f t="shared" si="12"/>
        <v>1039.2934782608695</v>
      </c>
      <c r="D267">
        <f t="shared" si="13"/>
        <v>1000</v>
      </c>
      <c r="E267">
        <f t="shared" si="14"/>
        <v>1200</v>
      </c>
      <c r="F267" s="1">
        <f>'Prepared Data'!A267</f>
        <v>1500</v>
      </c>
    </row>
    <row r="268" spans="3:6" x14ac:dyDescent="0.2">
      <c r="C268">
        <f t="shared" si="12"/>
        <v>1039.2934782608695</v>
      </c>
      <c r="D268">
        <f t="shared" si="13"/>
        <v>1000</v>
      </c>
      <c r="E268">
        <f t="shared" si="14"/>
        <v>1200</v>
      </c>
      <c r="F268" s="1">
        <f>'Prepared Data'!A268</f>
        <v>750</v>
      </c>
    </row>
    <row r="269" spans="3:6" x14ac:dyDescent="0.2">
      <c r="C269">
        <f t="shared" si="12"/>
        <v>1039.2934782608695</v>
      </c>
      <c r="D269">
        <f t="shared" si="13"/>
        <v>1000</v>
      </c>
      <c r="E269">
        <f t="shared" si="14"/>
        <v>1200</v>
      </c>
      <c r="F269" s="1">
        <f>'Prepared Data'!A269</f>
        <v>1300</v>
      </c>
    </row>
    <row r="270" spans="3:6" x14ac:dyDescent="0.2">
      <c r="C270">
        <f t="shared" si="12"/>
        <v>1039.2934782608695</v>
      </c>
      <c r="D270">
        <f t="shared" si="13"/>
        <v>1000</v>
      </c>
      <c r="E270">
        <f t="shared" si="14"/>
        <v>1200</v>
      </c>
      <c r="F270" s="1">
        <f>'Prepared Data'!A270</f>
        <v>1150</v>
      </c>
    </row>
    <row r="271" spans="3:6" x14ac:dyDescent="0.2">
      <c r="C271">
        <f t="shared" si="12"/>
        <v>1039.2934782608695</v>
      </c>
      <c r="D271">
        <f t="shared" si="13"/>
        <v>1000</v>
      </c>
      <c r="E271">
        <f t="shared" si="14"/>
        <v>1200</v>
      </c>
      <c r="F271" s="1">
        <f>'Prepared Data'!A271</f>
        <v>1400</v>
      </c>
    </row>
    <row r="272" spans="3:6" x14ac:dyDescent="0.2">
      <c r="C272">
        <f t="shared" si="12"/>
        <v>1039.2934782608695</v>
      </c>
      <c r="D272">
        <f t="shared" si="13"/>
        <v>1000</v>
      </c>
      <c r="E272">
        <f t="shared" si="14"/>
        <v>1200</v>
      </c>
      <c r="F272" s="1">
        <f>'Prepared Data'!A272</f>
        <v>1200</v>
      </c>
    </row>
    <row r="273" spans="3:6" x14ac:dyDescent="0.2">
      <c r="C273">
        <f t="shared" si="12"/>
        <v>1039.2934782608695</v>
      </c>
      <c r="D273">
        <f t="shared" si="13"/>
        <v>1000</v>
      </c>
      <c r="E273">
        <f t="shared" si="14"/>
        <v>1200</v>
      </c>
      <c r="F273" s="1">
        <f>'Prepared Data'!A273</f>
        <v>900</v>
      </c>
    </row>
    <row r="274" spans="3:6" x14ac:dyDescent="0.2">
      <c r="C274">
        <f t="shared" si="12"/>
        <v>1039.2934782608695</v>
      </c>
      <c r="D274">
        <f t="shared" si="13"/>
        <v>1000</v>
      </c>
      <c r="E274">
        <f t="shared" si="14"/>
        <v>1200</v>
      </c>
      <c r="F274" s="1">
        <f>'Prepared Data'!A274</f>
        <v>1200</v>
      </c>
    </row>
    <row r="275" spans="3:6" x14ac:dyDescent="0.2">
      <c r="C275">
        <f t="shared" si="12"/>
        <v>1039.2934782608695</v>
      </c>
      <c r="D275">
        <f t="shared" si="13"/>
        <v>1000</v>
      </c>
      <c r="E275">
        <f t="shared" si="14"/>
        <v>1200</v>
      </c>
      <c r="F275" s="1">
        <f>'Prepared Data'!A275</f>
        <v>1500</v>
      </c>
    </row>
    <row r="276" spans="3:6" x14ac:dyDescent="0.2">
      <c r="C276">
        <f t="shared" si="12"/>
        <v>1039.2934782608695</v>
      </c>
      <c r="D276">
        <f t="shared" si="13"/>
        <v>1000</v>
      </c>
      <c r="E276">
        <f t="shared" si="14"/>
        <v>1200</v>
      </c>
      <c r="F276" s="1">
        <f>'Prepared Data'!A276</f>
        <v>1300</v>
      </c>
    </row>
    <row r="277" spans="3:6" x14ac:dyDescent="0.2">
      <c r="C277">
        <f t="shared" si="12"/>
        <v>1039.2934782608695</v>
      </c>
      <c r="D277">
        <f t="shared" si="13"/>
        <v>1000</v>
      </c>
      <c r="E277">
        <f t="shared" si="14"/>
        <v>1200</v>
      </c>
      <c r="F277" s="1">
        <f>'Prepared Data'!A277</f>
        <v>1300</v>
      </c>
    </row>
    <row r="278" spans="3:6" x14ac:dyDescent="0.2">
      <c r="C278">
        <f t="shared" si="12"/>
        <v>1039.2934782608695</v>
      </c>
      <c r="D278">
        <f t="shared" si="13"/>
        <v>1000</v>
      </c>
      <c r="E278">
        <f t="shared" si="14"/>
        <v>1200</v>
      </c>
      <c r="F278" s="1">
        <f>'Prepared Data'!A278</f>
        <v>1000</v>
      </c>
    </row>
    <row r="279" spans="3:6" x14ac:dyDescent="0.2">
      <c r="C279">
        <f t="shared" si="12"/>
        <v>1039.2934782608695</v>
      </c>
      <c r="D279">
        <f t="shared" si="13"/>
        <v>1000</v>
      </c>
      <c r="E279">
        <f t="shared" si="14"/>
        <v>1200</v>
      </c>
      <c r="F279" s="1">
        <f>'Prepared Data'!A279</f>
        <v>3000</v>
      </c>
    </row>
    <row r="280" spans="3:6" x14ac:dyDescent="0.2">
      <c r="C280">
        <f t="shared" si="12"/>
        <v>1039.2934782608695</v>
      </c>
      <c r="D280">
        <f t="shared" si="13"/>
        <v>1000</v>
      </c>
      <c r="E280">
        <f t="shared" si="14"/>
        <v>1200</v>
      </c>
      <c r="F280" s="1">
        <f>'Prepared Data'!A280</f>
        <v>1000</v>
      </c>
    </row>
    <row r="281" spans="3:6" x14ac:dyDescent="0.2">
      <c r="C281">
        <f t="shared" si="12"/>
        <v>1039.2934782608695</v>
      </c>
      <c r="D281">
        <f t="shared" si="13"/>
        <v>1000</v>
      </c>
      <c r="E281">
        <f t="shared" si="14"/>
        <v>1200</v>
      </c>
      <c r="F281" s="1">
        <f>'Prepared Data'!A281</f>
        <v>600</v>
      </c>
    </row>
    <row r="282" spans="3:6" x14ac:dyDescent="0.2">
      <c r="C282">
        <f t="shared" si="12"/>
        <v>1039.2934782608695</v>
      </c>
      <c r="D282">
        <f t="shared" si="13"/>
        <v>1000</v>
      </c>
      <c r="E282">
        <f t="shared" si="14"/>
        <v>1200</v>
      </c>
      <c r="F282" s="1">
        <f>'Prepared Data'!A282</f>
        <v>1500</v>
      </c>
    </row>
    <row r="283" spans="3:6" x14ac:dyDescent="0.2">
      <c r="C283">
        <f t="shared" si="12"/>
        <v>1039.2934782608695</v>
      </c>
      <c r="D283">
        <f t="shared" si="13"/>
        <v>1000</v>
      </c>
      <c r="E283">
        <f t="shared" si="14"/>
        <v>1200</v>
      </c>
      <c r="F283" s="1">
        <f>'Prepared Data'!A283</f>
        <v>1000</v>
      </c>
    </row>
    <row r="284" spans="3:6" x14ac:dyDescent="0.2">
      <c r="C284">
        <f t="shared" si="12"/>
        <v>1039.2934782608695</v>
      </c>
      <c r="D284">
        <f t="shared" si="13"/>
        <v>1000</v>
      </c>
      <c r="E284">
        <f t="shared" si="14"/>
        <v>1200</v>
      </c>
      <c r="F284" s="1">
        <f>'Prepared Data'!A284</f>
        <v>3000</v>
      </c>
    </row>
    <row r="285" spans="3:6" x14ac:dyDescent="0.2">
      <c r="C285">
        <f t="shared" si="12"/>
        <v>1039.2934782608695</v>
      </c>
      <c r="D285">
        <f t="shared" si="13"/>
        <v>1000</v>
      </c>
      <c r="E285">
        <f t="shared" si="14"/>
        <v>1200</v>
      </c>
      <c r="F285" s="1">
        <f>'Prepared Data'!A285</f>
        <v>1000</v>
      </c>
    </row>
    <row r="286" spans="3:6" x14ac:dyDescent="0.2">
      <c r="C286">
        <f t="shared" si="12"/>
        <v>1039.2934782608695</v>
      </c>
      <c r="D286">
        <f t="shared" si="13"/>
        <v>1000</v>
      </c>
      <c r="E286">
        <f t="shared" si="14"/>
        <v>1200</v>
      </c>
      <c r="F286" s="1">
        <f>'Prepared Data'!A286</f>
        <v>1200</v>
      </c>
    </row>
    <row r="287" spans="3:6" x14ac:dyDescent="0.2">
      <c r="C287">
        <f t="shared" si="12"/>
        <v>1039.2934782608695</v>
      </c>
      <c r="D287">
        <f t="shared" si="13"/>
        <v>1000</v>
      </c>
      <c r="E287">
        <f t="shared" si="14"/>
        <v>1200</v>
      </c>
      <c r="F287" s="1">
        <f>'Prepared Data'!A287</f>
        <v>1000</v>
      </c>
    </row>
    <row r="288" spans="3:6" x14ac:dyDescent="0.2">
      <c r="C288">
        <f t="shared" si="12"/>
        <v>1039.2934782608695</v>
      </c>
      <c r="D288">
        <f t="shared" si="13"/>
        <v>1000</v>
      </c>
      <c r="E288">
        <f t="shared" si="14"/>
        <v>1200</v>
      </c>
      <c r="F288" s="1">
        <f>'Prepared Data'!A288</f>
        <v>2000</v>
      </c>
    </row>
    <row r="289" spans="3:6" x14ac:dyDescent="0.2">
      <c r="C289">
        <f t="shared" si="12"/>
        <v>1039.2934782608695</v>
      </c>
      <c r="D289">
        <f t="shared" si="13"/>
        <v>1000</v>
      </c>
      <c r="E289">
        <f t="shared" si="14"/>
        <v>1200</v>
      </c>
      <c r="F289" s="1">
        <f>'Prepared Data'!A289</f>
        <v>900</v>
      </c>
    </row>
    <row r="290" spans="3:6" x14ac:dyDescent="0.2">
      <c r="C290">
        <f t="shared" si="12"/>
        <v>1039.2934782608695</v>
      </c>
      <c r="D290">
        <f t="shared" si="13"/>
        <v>1000</v>
      </c>
      <c r="E290">
        <f t="shared" si="14"/>
        <v>1200</v>
      </c>
      <c r="F290" s="1">
        <f>'Prepared Data'!A290</f>
        <v>1200</v>
      </c>
    </row>
    <row r="291" spans="3:6" x14ac:dyDescent="0.2">
      <c r="C291">
        <f t="shared" si="12"/>
        <v>1039.2934782608695</v>
      </c>
      <c r="D291">
        <f t="shared" si="13"/>
        <v>1000</v>
      </c>
      <c r="E291">
        <f t="shared" si="14"/>
        <v>1200</v>
      </c>
      <c r="F291" s="1">
        <f>'Prepared Data'!A291</f>
        <v>1000</v>
      </c>
    </row>
    <row r="292" spans="3:6" x14ac:dyDescent="0.2">
      <c r="C292">
        <f t="shared" si="12"/>
        <v>1039.2934782608695</v>
      </c>
      <c r="D292">
        <f t="shared" si="13"/>
        <v>1000</v>
      </c>
      <c r="E292">
        <f t="shared" si="14"/>
        <v>1200</v>
      </c>
      <c r="F292" s="1">
        <f>'Prepared Data'!A292</f>
        <v>800</v>
      </c>
    </row>
    <row r="293" spans="3:6" x14ac:dyDescent="0.2">
      <c r="C293">
        <f t="shared" si="12"/>
        <v>1039.2934782608695</v>
      </c>
      <c r="D293">
        <f t="shared" si="13"/>
        <v>1000</v>
      </c>
      <c r="E293">
        <f t="shared" si="14"/>
        <v>1200</v>
      </c>
      <c r="F293" s="1">
        <f>'Prepared Data'!A293</f>
        <v>1300</v>
      </c>
    </row>
    <row r="294" spans="3:6" x14ac:dyDescent="0.2">
      <c r="C294">
        <f t="shared" si="12"/>
        <v>1039.2934782608695</v>
      </c>
      <c r="D294">
        <f t="shared" si="13"/>
        <v>1000</v>
      </c>
      <c r="E294">
        <f t="shared" si="14"/>
        <v>1200</v>
      </c>
      <c r="F294" s="1">
        <f>'Prepared Data'!A294</f>
        <v>750</v>
      </c>
    </row>
    <row r="295" spans="3:6" x14ac:dyDescent="0.2">
      <c r="C295">
        <f t="shared" si="12"/>
        <v>1039.2934782608695</v>
      </c>
      <c r="D295">
        <f t="shared" si="13"/>
        <v>1000</v>
      </c>
      <c r="E295">
        <f t="shared" si="14"/>
        <v>1200</v>
      </c>
      <c r="F295" s="1">
        <f>'Prepared Data'!A295</f>
        <v>500</v>
      </c>
    </row>
    <row r="296" spans="3:6" x14ac:dyDescent="0.2">
      <c r="C296">
        <f t="shared" si="12"/>
        <v>1039.2934782608695</v>
      </c>
      <c r="D296">
        <f t="shared" si="13"/>
        <v>1000</v>
      </c>
      <c r="E296">
        <f t="shared" si="14"/>
        <v>1200</v>
      </c>
      <c r="F296" s="1">
        <f>'Prepared Data'!A296</f>
        <v>800</v>
      </c>
    </row>
    <row r="297" spans="3:6" x14ac:dyDescent="0.2">
      <c r="C297">
        <f t="shared" si="12"/>
        <v>1039.2934782608695</v>
      </c>
      <c r="D297">
        <f t="shared" si="13"/>
        <v>1000</v>
      </c>
      <c r="E297">
        <f t="shared" si="14"/>
        <v>1200</v>
      </c>
      <c r="F297" s="1">
        <f>'Prepared Data'!A297</f>
        <v>600</v>
      </c>
    </row>
    <row r="298" spans="3:6" x14ac:dyDescent="0.2">
      <c r="C298">
        <f t="shared" si="12"/>
        <v>1039.2934782608695</v>
      </c>
      <c r="D298">
        <f t="shared" si="13"/>
        <v>1000</v>
      </c>
      <c r="E298">
        <f t="shared" si="14"/>
        <v>1200</v>
      </c>
      <c r="F298" s="1">
        <f>'Prepared Data'!A298</f>
        <v>1000</v>
      </c>
    </row>
    <row r="299" spans="3:6" x14ac:dyDescent="0.2">
      <c r="C299">
        <f t="shared" si="12"/>
        <v>1039.2934782608695</v>
      </c>
      <c r="D299">
        <f t="shared" si="13"/>
        <v>1000</v>
      </c>
      <c r="E299">
        <f t="shared" si="14"/>
        <v>1200</v>
      </c>
      <c r="F299" s="1">
        <f>'Prepared Data'!A299</f>
        <v>600</v>
      </c>
    </row>
    <row r="300" spans="3:6" x14ac:dyDescent="0.2">
      <c r="C300">
        <f t="shared" si="12"/>
        <v>1039.2934782608695</v>
      </c>
      <c r="D300">
        <f t="shared" si="13"/>
        <v>1000</v>
      </c>
      <c r="E300">
        <f t="shared" si="14"/>
        <v>1200</v>
      </c>
      <c r="F300" s="1">
        <f>'Prepared Data'!A300</f>
        <v>900</v>
      </c>
    </row>
    <row r="301" spans="3:6" x14ac:dyDescent="0.2">
      <c r="C301">
        <f t="shared" si="12"/>
        <v>1039.2934782608695</v>
      </c>
      <c r="D301">
        <f t="shared" si="13"/>
        <v>1000</v>
      </c>
      <c r="E301">
        <f t="shared" si="14"/>
        <v>1200</v>
      </c>
      <c r="F301" s="1">
        <f>'Prepared Data'!A301</f>
        <v>600</v>
      </c>
    </row>
    <row r="302" spans="3:6" x14ac:dyDescent="0.2">
      <c r="C302">
        <f t="shared" si="12"/>
        <v>1039.2934782608695</v>
      </c>
      <c r="D302">
        <f t="shared" si="13"/>
        <v>1000</v>
      </c>
      <c r="E302">
        <f t="shared" si="14"/>
        <v>1200</v>
      </c>
      <c r="F302" s="1">
        <f>'Prepared Data'!A302</f>
        <v>1500</v>
      </c>
    </row>
    <row r="303" spans="3:6" x14ac:dyDescent="0.2">
      <c r="C303">
        <f t="shared" si="12"/>
        <v>1039.2934782608695</v>
      </c>
      <c r="D303">
        <f t="shared" si="13"/>
        <v>1000</v>
      </c>
      <c r="E303">
        <f t="shared" si="14"/>
        <v>1200</v>
      </c>
      <c r="F303" s="1">
        <f>'Prepared Data'!A303</f>
        <v>1300</v>
      </c>
    </row>
    <row r="304" spans="3:6" x14ac:dyDescent="0.2">
      <c r="C304">
        <f t="shared" si="12"/>
        <v>1039.2934782608695</v>
      </c>
      <c r="D304">
        <f t="shared" si="13"/>
        <v>1000</v>
      </c>
      <c r="E304">
        <f t="shared" si="14"/>
        <v>1200</v>
      </c>
      <c r="F304" s="1">
        <f>'Prepared Data'!A304</f>
        <v>1000</v>
      </c>
    </row>
    <row r="305" spans="3:6" x14ac:dyDescent="0.2">
      <c r="C305">
        <f t="shared" si="12"/>
        <v>1039.2934782608695</v>
      </c>
      <c r="D305">
        <f t="shared" si="13"/>
        <v>1000</v>
      </c>
      <c r="E305">
        <f t="shared" si="14"/>
        <v>1200</v>
      </c>
      <c r="F305" s="1">
        <f>'Prepared Data'!A305</f>
        <v>1500</v>
      </c>
    </row>
    <row r="306" spans="3:6" x14ac:dyDescent="0.2">
      <c r="C306">
        <f t="shared" si="12"/>
        <v>1039.2934782608695</v>
      </c>
      <c r="D306">
        <f t="shared" si="13"/>
        <v>1000</v>
      </c>
      <c r="E306">
        <f t="shared" si="14"/>
        <v>1200</v>
      </c>
      <c r="F306" s="1">
        <f>'Prepared Data'!A306</f>
        <v>1000</v>
      </c>
    </row>
    <row r="307" spans="3:6" x14ac:dyDescent="0.2">
      <c r="C307">
        <f t="shared" si="12"/>
        <v>1039.2934782608695</v>
      </c>
      <c r="D307">
        <f t="shared" si="13"/>
        <v>1000</v>
      </c>
      <c r="E307">
        <f t="shared" si="14"/>
        <v>1200</v>
      </c>
      <c r="F307" s="1">
        <f>'Prepared Data'!A307</f>
        <v>500</v>
      </c>
    </row>
    <row r="308" spans="3:6" x14ac:dyDescent="0.2">
      <c r="C308">
        <f t="shared" si="12"/>
        <v>1039.2934782608695</v>
      </c>
      <c r="D308">
        <f t="shared" si="13"/>
        <v>1000</v>
      </c>
      <c r="E308">
        <f t="shared" si="14"/>
        <v>1200</v>
      </c>
      <c r="F308" s="1">
        <f>'Prepared Data'!A308</f>
        <v>500</v>
      </c>
    </row>
    <row r="309" spans="3:6" x14ac:dyDescent="0.2">
      <c r="C309">
        <f t="shared" si="12"/>
        <v>1039.2934782608695</v>
      </c>
      <c r="D309">
        <f t="shared" si="13"/>
        <v>1000</v>
      </c>
      <c r="E309">
        <f t="shared" si="14"/>
        <v>1200</v>
      </c>
      <c r="F309" s="1">
        <f>'Prepared Data'!A309</f>
        <v>100000</v>
      </c>
    </row>
    <row r="310" spans="3:6" x14ac:dyDescent="0.2">
      <c r="C310">
        <f t="shared" si="12"/>
        <v>1039.2934782608695</v>
      </c>
      <c r="D310">
        <f t="shared" si="13"/>
        <v>1000</v>
      </c>
      <c r="E310">
        <f t="shared" si="14"/>
        <v>1200</v>
      </c>
      <c r="F310" s="1">
        <f>'Prepared Data'!A310</f>
        <v>1000</v>
      </c>
    </row>
    <row r="311" spans="3:6" x14ac:dyDescent="0.2">
      <c r="C311">
        <f t="shared" si="12"/>
        <v>1039.2934782608695</v>
      </c>
      <c r="D311">
        <f t="shared" si="13"/>
        <v>1000</v>
      </c>
      <c r="E311">
        <f t="shared" si="14"/>
        <v>1200</v>
      </c>
      <c r="F311" s="1">
        <f>'Prepared Data'!A311</f>
        <v>3000</v>
      </c>
    </row>
    <row r="312" spans="3:6" x14ac:dyDescent="0.2">
      <c r="C312">
        <f t="shared" si="12"/>
        <v>1039.2934782608695</v>
      </c>
      <c r="D312">
        <f t="shared" si="13"/>
        <v>1000</v>
      </c>
      <c r="E312">
        <f t="shared" si="14"/>
        <v>1200</v>
      </c>
      <c r="F312" s="1">
        <f>'Prepared Data'!A312</f>
        <v>1000</v>
      </c>
    </row>
    <row r="313" spans="3:6" x14ac:dyDescent="0.2">
      <c r="C313">
        <f t="shared" si="12"/>
        <v>1039.2934782608695</v>
      </c>
      <c r="D313">
        <f t="shared" si="13"/>
        <v>1000</v>
      </c>
      <c r="E313">
        <f t="shared" si="14"/>
        <v>1200</v>
      </c>
      <c r="F313" s="1">
        <f>'Prepared Data'!A313</f>
        <v>1300</v>
      </c>
    </row>
    <row r="314" spans="3:6" x14ac:dyDescent="0.2">
      <c r="C314">
        <f t="shared" si="12"/>
        <v>1039.2934782608695</v>
      </c>
      <c r="D314">
        <f t="shared" si="13"/>
        <v>1000</v>
      </c>
      <c r="E314">
        <f t="shared" si="14"/>
        <v>1200</v>
      </c>
      <c r="F314" s="1">
        <f>'Prepared Data'!A314</f>
        <v>950</v>
      </c>
    </row>
    <row r="315" spans="3:6" x14ac:dyDescent="0.2">
      <c r="C315">
        <f t="shared" si="12"/>
        <v>1039.2934782608695</v>
      </c>
      <c r="D315">
        <f t="shared" si="13"/>
        <v>1000</v>
      </c>
      <c r="E315">
        <f t="shared" si="14"/>
        <v>1200</v>
      </c>
      <c r="F315" s="1">
        <f>'Prepared Data'!A315</f>
        <v>1500</v>
      </c>
    </row>
    <row r="316" spans="3:6" x14ac:dyDescent="0.2">
      <c r="C316">
        <f t="shared" si="12"/>
        <v>1039.2934782608695</v>
      </c>
      <c r="D316">
        <f t="shared" si="13"/>
        <v>1000</v>
      </c>
      <c r="E316">
        <f t="shared" si="14"/>
        <v>1200</v>
      </c>
      <c r="F316" s="1">
        <f>'Prepared Data'!A316</f>
        <v>1000</v>
      </c>
    </row>
    <row r="317" spans="3:6" x14ac:dyDescent="0.2">
      <c r="C317">
        <f t="shared" si="12"/>
        <v>1039.2934782608695</v>
      </c>
      <c r="D317">
        <f t="shared" si="13"/>
        <v>1000</v>
      </c>
      <c r="E317">
        <f t="shared" si="14"/>
        <v>1200</v>
      </c>
      <c r="F317" s="1">
        <f>'Prepared Data'!A317</f>
        <v>1500</v>
      </c>
    </row>
    <row r="318" spans="3:6" x14ac:dyDescent="0.2">
      <c r="C318">
        <f t="shared" si="12"/>
        <v>1039.2934782608695</v>
      </c>
      <c r="D318">
        <f t="shared" si="13"/>
        <v>1000</v>
      </c>
      <c r="E318">
        <f t="shared" si="14"/>
        <v>1200</v>
      </c>
      <c r="F318" s="1">
        <f>'Prepared Data'!A318</f>
        <v>500</v>
      </c>
    </row>
    <row r="319" spans="3:6" x14ac:dyDescent="0.2">
      <c r="C319">
        <f t="shared" si="12"/>
        <v>1039.2934782608695</v>
      </c>
      <c r="D319">
        <f t="shared" si="13"/>
        <v>1000</v>
      </c>
      <c r="E319">
        <f t="shared" si="14"/>
        <v>1200</v>
      </c>
      <c r="F319" s="1">
        <f>'Prepared Data'!A319</f>
        <v>600</v>
      </c>
    </row>
    <row r="320" spans="3:6" x14ac:dyDescent="0.2">
      <c r="C320">
        <f t="shared" si="12"/>
        <v>1039.2934782608695</v>
      </c>
      <c r="D320">
        <f t="shared" si="13"/>
        <v>1000</v>
      </c>
      <c r="E320">
        <f t="shared" si="14"/>
        <v>1200</v>
      </c>
      <c r="F320" s="1">
        <f>'Prepared Data'!A320</f>
        <v>1800</v>
      </c>
    </row>
    <row r="321" spans="3:6" x14ac:dyDescent="0.2">
      <c r="C321">
        <f t="shared" si="12"/>
        <v>1039.2934782608695</v>
      </c>
      <c r="D321">
        <f t="shared" si="13"/>
        <v>1000</v>
      </c>
      <c r="E321">
        <f t="shared" si="14"/>
        <v>1200</v>
      </c>
      <c r="F321" s="1">
        <f>'Prepared Data'!A321</f>
        <v>2000</v>
      </c>
    </row>
    <row r="322" spans="3:6" x14ac:dyDescent="0.2">
      <c r="C322">
        <f t="shared" si="12"/>
        <v>1039.2934782608695</v>
      </c>
      <c r="D322">
        <f t="shared" si="13"/>
        <v>1000</v>
      </c>
      <c r="E322">
        <f t="shared" si="14"/>
        <v>1200</v>
      </c>
      <c r="F322" s="1">
        <f>'Prepared Data'!A322</f>
        <v>1600</v>
      </c>
    </row>
    <row r="323" spans="3:6" x14ac:dyDescent="0.2">
      <c r="C323">
        <f t="shared" ref="C323:C386" si="15">$B$5</f>
        <v>1039.2934782608695</v>
      </c>
      <c r="D323">
        <f t="shared" ref="D323:D386" si="16">$B$6</f>
        <v>1000</v>
      </c>
      <c r="E323">
        <f t="shared" ref="E323:E386" si="17">$B$7</f>
        <v>1200</v>
      </c>
      <c r="F323" s="1">
        <f>'Prepared Data'!A323</f>
        <v>2300</v>
      </c>
    </row>
    <row r="324" spans="3:6" x14ac:dyDescent="0.2">
      <c r="C324">
        <f t="shared" si="15"/>
        <v>1039.2934782608695</v>
      </c>
      <c r="D324">
        <f t="shared" si="16"/>
        <v>1000</v>
      </c>
      <c r="E324">
        <f t="shared" si="17"/>
        <v>1200</v>
      </c>
      <c r="F324" s="1">
        <f>'Prepared Data'!A324</f>
        <v>800</v>
      </c>
    </row>
    <row r="325" spans="3:6" x14ac:dyDescent="0.2">
      <c r="C325">
        <f t="shared" si="15"/>
        <v>1039.2934782608695</v>
      </c>
      <c r="D325">
        <f t="shared" si="16"/>
        <v>1000</v>
      </c>
      <c r="E325">
        <f t="shared" si="17"/>
        <v>1200</v>
      </c>
      <c r="F325" s="1">
        <f>'Prepared Data'!A325</f>
        <v>1600</v>
      </c>
    </row>
    <row r="326" spans="3:6" x14ac:dyDescent="0.2">
      <c r="C326">
        <f t="shared" si="15"/>
        <v>1039.2934782608695</v>
      </c>
      <c r="D326">
        <f t="shared" si="16"/>
        <v>1000</v>
      </c>
      <c r="E326">
        <f t="shared" si="17"/>
        <v>1200</v>
      </c>
      <c r="F326" s="1">
        <f>'Prepared Data'!A326</f>
        <v>850</v>
      </c>
    </row>
    <row r="327" spans="3:6" x14ac:dyDescent="0.2">
      <c r="C327">
        <f t="shared" si="15"/>
        <v>1039.2934782608695</v>
      </c>
      <c r="D327">
        <f t="shared" si="16"/>
        <v>1000</v>
      </c>
      <c r="E327">
        <f t="shared" si="17"/>
        <v>1200</v>
      </c>
      <c r="F327" s="1">
        <f>'Prepared Data'!A327</f>
        <v>1500</v>
      </c>
    </row>
    <row r="328" spans="3:6" x14ac:dyDescent="0.2">
      <c r="C328">
        <f t="shared" si="15"/>
        <v>1039.2934782608695</v>
      </c>
      <c r="D328">
        <f t="shared" si="16"/>
        <v>1000</v>
      </c>
      <c r="E328">
        <f t="shared" si="17"/>
        <v>1200</v>
      </c>
      <c r="F328" s="1">
        <f>'Prepared Data'!A328</f>
        <v>1500</v>
      </c>
    </row>
    <row r="329" spans="3:6" x14ac:dyDescent="0.2">
      <c r="C329">
        <f t="shared" si="15"/>
        <v>1039.2934782608695</v>
      </c>
      <c r="D329">
        <f t="shared" si="16"/>
        <v>1000</v>
      </c>
      <c r="E329">
        <f t="shared" si="17"/>
        <v>1200</v>
      </c>
      <c r="F329" s="1">
        <f>'Prepared Data'!A329</f>
        <v>1200</v>
      </c>
    </row>
    <row r="330" spans="3:6" x14ac:dyDescent="0.2">
      <c r="C330">
        <f t="shared" si="15"/>
        <v>1039.2934782608695</v>
      </c>
      <c r="D330">
        <f t="shared" si="16"/>
        <v>1000</v>
      </c>
      <c r="E330">
        <f t="shared" si="17"/>
        <v>1200</v>
      </c>
      <c r="F330" s="1">
        <f>'Prepared Data'!A330</f>
        <v>3000</v>
      </c>
    </row>
    <row r="331" spans="3:6" x14ac:dyDescent="0.2">
      <c r="C331">
        <f t="shared" si="15"/>
        <v>1039.2934782608695</v>
      </c>
      <c r="D331">
        <f t="shared" si="16"/>
        <v>1000</v>
      </c>
      <c r="E331">
        <f t="shared" si="17"/>
        <v>1200</v>
      </c>
      <c r="F331" s="1">
        <f>'Prepared Data'!A331</f>
        <v>1100</v>
      </c>
    </row>
    <row r="332" spans="3:6" x14ac:dyDescent="0.2">
      <c r="C332">
        <f t="shared" si="15"/>
        <v>1039.2934782608695</v>
      </c>
      <c r="D332">
        <f t="shared" si="16"/>
        <v>1000</v>
      </c>
      <c r="E332">
        <f t="shared" si="17"/>
        <v>1200</v>
      </c>
      <c r="F332" s="1">
        <f>'Prepared Data'!A332</f>
        <v>800</v>
      </c>
    </row>
    <row r="333" spans="3:6" x14ac:dyDescent="0.2">
      <c r="C333">
        <f t="shared" si="15"/>
        <v>1039.2934782608695</v>
      </c>
      <c r="D333">
        <f t="shared" si="16"/>
        <v>1000</v>
      </c>
      <c r="E333">
        <f t="shared" si="17"/>
        <v>1200</v>
      </c>
      <c r="F333" s="1">
        <f>'Prepared Data'!A333</f>
        <v>1350</v>
      </c>
    </row>
    <row r="334" spans="3:6" x14ac:dyDescent="0.2">
      <c r="C334">
        <f t="shared" si="15"/>
        <v>1039.2934782608695</v>
      </c>
      <c r="D334">
        <f t="shared" si="16"/>
        <v>1000</v>
      </c>
      <c r="E334">
        <f t="shared" si="17"/>
        <v>1200</v>
      </c>
      <c r="F334" s="1">
        <f>'Prepared Data'!A334</f>
        <v>2750</v>
      </c>
    </row>
    <row r="335" spans="3:6" x14ac:dyDescent="0.2">
      <c r="C335">
        <f t="shared" si="15"/>
        <v>1039.2934782608695</v>
      </c>
      <c r="D335">
        <f t="shared" si="16"/>
        <v>1000</v>
      </c>
      <c r="E335">
        <f t="shared" si="17"/>
        <v>1200</v>
      </c>
      <c r="F335" s="1">
        <f>'Prepared Data'!A335</f>
        <v>1300</v>
      </c>
    </row>
    <row r="336" spans="3:6" x14ac:dyDescent="0.2">
      <c r="C336">
        <f t="shared" si="15"/>
        <v>1039.2934782608695</v>
      </c>
      <c r="D336">
        <f t="shared" si="16"/>
        <v>1000</v>
      </c>
      <c r="E336">
        <f t="shared" si="17"/>
        <v>1200</v>
      </c>
      <c r="F336" s="1">
        <f>'Prepared Data'!A336</f>
        <v>750</v>
      </c>
    </row>
    <row r="337" spans="3:6" x14ac:dyDescent="0.2">
      <c r="C337">
        <f t="shared" si="15"/>
        <v>1039.2934782608695</v>
      </c>
      <c r="D337">
        <f t="shared" si="16"/>
        <v>1000</v>
      </c>
      <c r="E337">
        <f t="shared" si="17"/>
        <v>1200</v>
      </c>
      <c r="F337" s="1">
        <f>'Prepared Data'!A337</f>
        <v>1700</v>
      </c>
    </row>
    <row r="338" spans="3:6" x14ac:dyDescent="0.2">
      <c r="C338">
        <f t="shared" si="15"/>
        <v>1039.2934782608695</v>
      </c>
      <c r="D338">
        <f t="shared" si="16"/>
        <v>1000</v>
      </c>
      <c r="E338">
        <f t="shared" si="17"/>
        <v>1200</v>
      </c>
      <c r="F338" s="1">
        <f>'Prepared Data'!A338</f>
        <v>2000</v>
      </c>
    </row>
    <row r="339" spans="3:6" x14ac:dyDescent="0.2">
      <c r="C339">
        <f t="shared" si="15"/>
        <v>1039.2934782608695</v>
      </c>
      <c r="D339">
        <f t="shared" si="16"/>
        <v>1000</v>
      </c>
      <c r="E339">
        <f t="shared" si="17"/>
        <v>1200</v>
      </c>
      <c r="F339" s="1">
        <f>'Prepared Data'!A339</f>
        <v>3000</v>
      </c>
    </row>
    <row r="340" spans="3:6" x14ac:dyDescent="0.2">
      <c r="C340">
        <f t="shared" si="15"/>
        <v>1039.2934782608695</v>
      </c>
      <c r="D340">
        <f t="shared" si="16"/>
        <v>1000</v>
      </c>
      <c r="E340">
        <f t="shared" si="17"/>
        <v>1200</v>
      </c>
      <c r="F340" s="1">
        <f>'Prepared Data'!A340</f>
        <v>1500</v>
      </c>
    </row>
    <row r="341" spans="3:6" x14ac:dyDescent="0.2">
      <c r="C341">
        <f t="shared" si="15"/>
        <v>1039.2934782608695</v>
      </c>
      <c r="D341">
        <f t="shared" si="16"/>
        <v>1000</v>
      </c>
      <c r="E341">
        <f t="shared" si="17"/>
        <v>1200</v>
      </c>
      <c r="F341" s="1">
        <f>'Prepared Data'!A341</f>
        <v>650</v>
      </c>
    </row>
    <row r="342" spans="3:6" x14ac:dyDescent="0.2">
      <c r="C342">
        <f t="shared" si="15"/>
        <v>1039.2934782608695</v>
      </c>
      <c r="D342">
        <f t="shared" si="16"/>
        <v>1000</v>
      </c>
      <c r="E342">
        <f t="shared" si="17"/>
        <v>1200</v>
      </c>
      <c r="F342" s="1">
        <f>'Prepared Data'!A342</f>
        <v>1300</v>
      </c>
    </row>
    <row r="343" spans="3:6" x14ac:dyDescent="0.2">
      <c r="C343">
        <f t="shared" si="15"/>
        <v>1039.2934782608695</v>
      </c>
      <c r="D343">
        <f t="shared" si="16"/>
        <v>1000</v>
      </c>
      <c r="E343">
        <f t="shared" si="17"/>
        <v>1200</v>
      </c>
      <c r="F343" s="1">
        <f>'Prepared Data'!A343</f>
        <v>1500</v>
      </c>
    </row>
    <row r="344" spans="3:6" x14ac:dyDescent="0.2">
      <c r="C344">
        <f t="shared" si="15"/>
        <v>1039.2934782608695</v>
      </c>
      <c r="D344">
        <f t="shared" si="16"/>
        <v>1000</v>
      </c>
      <c r="E344">
        <f t="shared" si="17"/>
        <v>1200</v>
      </c>
      <c r="F344" s="1">
        <f>'Prepared Data'!A344</f>
        <v>1500</v>
      </c>
    </row>
    <row r="345" spans="3:6" x14ac:dyDescent="0.2">
      <c r="C345">
        <f t="shared" si="15"/>
        <v>1039.2934782608695</v>
      </c>
      <c r="D345">
        <f t="shared" si="16"/>
        <v>1000</v>
      </c>
      <c r="E345">
        <f t="shared" si="17"/>
        <v>1200</v>
      </c>
      <c r="F345" s="1">
        <f>'Prepared Data'!A345</f>
        <v>800</v>
      </c>
    </row>
    <row r="346" spans="3:6" x14ac:dyDescent="0.2">
      <c r="C346">
        <f t="shared" si="15"/>
        <v>1039.2934782608695</v>
      </c>
      <c r="D346">
        <f t="shared" si="16"/>
        <v>1000</v>
      </c>
      <c r="E346">
        <f t="shared" si="17"/>
        <v>1200</v>
      </c>
      <c r="F346" s="1">
        <f>'Prepared Data'!A346</f>
        <v>1000</v>
      </c>
    </row>
    <row r="347" spans="3:6" x14ac:dyDescent="0.2">
      <c r="C347">
        <f t="shared" si="15"/>
        <v>1039.2934782608695</v>
      </c>
      <c r="D347">
        <f t="shared" si="16"/>
        <v>1000</v>
      </c>
      <c r="E347">
        <f t="shared" si="17"/>
        <v>1200</v>
      </c>
      <c r="F347" s="1">
        <f>'Prepared Data'!A347</f>
        <v>1800</v>
      </c>
    </row>
    <row r="348" spans="3:6" x14ac:dyDescent="0.2">
      <c r="C348">
        <f t="shared" si="15"/>
        <v>1039.2934782608695</v>
      </c>
      <c r="D348">
        <f t="shared" si="16"/>
        <v>1000</v>
      </c>
      <c r="E348">
        <f t="shared" si="17"/>
        <v>1200</v>
      </c>
      <c r="F348" s="1">
        <f>'Prepared Data'!A348</f>
        <v>1000</v>
      </c>
    </row>
    <row r="349" spans="3:6" x14ac:dyDescent="0.2">
      <c r="C349">
        <f t="shared" si="15"/>
        <v>1039.2934782608695</v>
      </c>
      <c r="D349">
        <f t="shared" si="16"/>
        <v>1000</v>
      </c>
      <c r="E349">
        <f t="shared" si="17"/>
        <v>1200</v>
      </c>
      <c r="F349" s="1">
        <f>'Prepared Data'!A349</f>
        <v>1300</v>
      </c>
    </row>
    <row r="350" spans="3:6" x14ac:dyDescent="0.2">
      <c r="C350">
        <f t="shared" si="15"/>
        <v>1039.2934782608695</v>
      </c>
      <c r="D350">
        <f t="shared" si="16"/>
        <v>1000</v>
      </c>
      <c r="E350">
        <f t="shared" si="17"/>
        <v>1200</v>
      </c>
      <c r="F350" s="1">
        <f>'Prepared Data'!A350</f>
        <v>1500</v>
      </c>
    </row>
    <row r="351" spans="3:6" x14ac:dyDescent="0.2">
      <c r="C351">
        <f t="shared" si="15"/>
        <v>1039.2934782608695</v>
      </c>
      <c r="D351">
        <f t="shared" si="16"/>
        <v>1000</v>
      </c>
      <c r="E351">
        <f t="shared" si="17"/>
        <v>1200</v>
      </c>
      <c r="F351" s="1">
        <f>'Prepared Data'!A351</f>
        <v>900</v>
      </c>
    </row>
    <row r="352" spans="3:6" x14ac:dyDescent="0.2">
      <c r="C352">
        <f t="shared" si="15"/>
        <v>1039.2934782608695</v>
      </c>
      <c r="D352">
        <f t="shared" si="16"/>
        <v>1000</v>
      </c>
      <c r="E352">
        <f t="shared" si="17"/>
        <v>1200</v>
      </c>
      <c r="F352" s="1">
        <f>'Prepared Data'!A352</f>
        <v>1500</v>
      </c>
    </row>
    <row r="353" spans="3:6" x14ac:dyDescent="0.2">
      <c r="C353">
        <f t="shared" si="15"/>
        <v>1039.2934782608695</v>
      </c>
      <c r="D353">
        <f t="shared" si="16"/>
        <v>1000</v>
      </c>
      <c r="E353">
        <f t="shared" si="17"/>
        <v>1200</v>
      </c>
      <c r="F353" s="1">
        <f>'Prepared Data'!A353</f>
        <v>1200</v>
      </c>
    </row>
    <row r="354" spans="3:6" x14ac:dyDescent="0.2">
      <c r="C354">
        <f t="shared" si="15"/>
        <v>1039.2934782608695</v>
      </c>
      <c r="D354">
        <f t="shared" si="16"/>
        <v>1000</v>
      </c>
      <c r="E354">
        <f t="shared" si="17"/>
        <v>1200</v>
      </c>
      <c r="F354" s="1">
        <f>'Prepared Data'!A354</f>
        <v>4000</v>
      </c>
    </row>
    <row r="355" spans="3:6" x14ac:dyDescent="0.2">
      <c r="C355">
        <f t="shared" si="15"/>
        <v>1039.2934782608695</v>
      </c>
      <c r="D355">
        <f t="shared" si="16"/>
        <v>1000</v>
      </c>
      <c r="E355">
        <f t="shared" si="17"/>
        <v>1200</v>
      </c>
      <c r="F355" s="1">
        <f>'Prepared Data'!A355</f>
        <v>1250</v>
      </c>
    </row>
    <row r="356" spans="3:6" x14ac:dyDescent="0.2">
      <c r="C356">
        <f t="shared" si="15"/>
        <v>1039.2934782608695</v>
      </c>
      <c r="D356">
        <f t="shared" si="16"/>
        <v>1000</v>
      </c>
      <c r="E356">
        <f t="shared" si="17"/>
        <v>1200</v>
      </c>
      <c r="F356" s="1">
        <f>'Prepared Data'!A356</f>
        <v>2000</v>
      </c>
    </row>
    <row r="357" spans="3:6" x14ac:dyDescent="0.2">
      <c r="C357">
        <f t="shared" si="15"/>
        <v>1039.2934782608695</v>
      </c>
      <c r="D357">
        <f t="shared" si="16"/>
        <v>1000</v>
      </c>
      <c r="E357">
        <f t="shared" si="17"/>
        <v>1200</v>
      </c>
      <c r="F357" s="1">
        <f>'Prepared Data'!A357</f>
        <v>1300</v>
      </c>
    </row>
    <row r="358" spans="3:6" x14ac:dyDescent="0.2">
      <c r="C358">
        <f t="shared" si="15"/>
        <v>1039.2934782608695</v>
      </c>
      <c r="D358">
        <f t="shared" si="16"/>
        <v>1000</v>
      </c>
      <c r="E358">
        <f t="shared" si="17"/>
        <v>1200</v>
      </c>
      <c r="F358" s="1">
        <f>'Prepared Data'!A358</f>
        <v>1000</v>
      </c>
    </row>
    <row r="359" spans="3:6" x14ac:dyDescent="0.2">
      <c r="C359">
        <f t="shared" si="15"/>
        <v>1039.2934782608695</v>
      </c>
      <c r="D359">
        <f t="shared" si="16"/>
        <v>1000</v>
      </c>
      <c r="E359">
        <f t="shared" si="17"/>
        <v>1200</v>
      </c>
      <c r="F359" s="1">
        <f>'Prepared Data'!A359</f>
        <v>1500</v>
      </c>
    </row>
    <row r="360" spans="3:6" x14ac:dyDescent="0.2">
      <c r="C360">
        <f t="shared" si="15"/>
        <v>1039.2934782608695</v>
      </c>
      <c r="D360">
        <f t="shared" si="16"/>
        <v>1000</v>
      </c>
      <c r="E360">
        <f t="shared" si="17"/>
        <v>1200</v>
      </c>
      <c r="F360" s="1">
        <f>'Prepared Data'!A360</f>
        <v>800</v>
      </c>
    </row>
    <row r="361" spans="3:6" x14ac:dyDescent="0.2">
      <c r="C361">
        <f t="shared" si="15"/>
        <v>1039.2934782608695</v>
      </c>
      <c r="D361">
        <f t="shared" si="16"/>
        <v>1000</v>
      </c>
      <c r="E361">
        <f t="shared" si="17"/>
        <v>1200</v>
      </c>
      <c r="F361" s="1">
        <f>'Prepared Data'!A361</f>
        <v>1400</v>
      </c>
    </row>
    <row r="362" spans="3:6" x14ac:dyDescent="0.2">
      <c r="C362">
        <f t="shared" si="15"/>
        <v>1039.2934782608695</v>
      </c>
      <c r="D362">
        <f t="shared" si="16"/>
        <v>1000</v>
      </c>
      <c r="E362">
        <f t="shared" si="17"/>
        <v>1200</v>
      </c>
      <c r="F362" s="1">
        <f>'Prepared Data'!A362</f>
        <v>2000</v>
      </c>
    </row>
    <row r="363" spans="3:6" x14ac:dyDescent="0.2">
      <c r="C363">
        <f t="shared" si="15"/>
        <v>1039.2934782608695</v>
      </c>
      <c r="D363">
        <f t="shared" si="16"/>
        <v>1000</v>
      </c>
      <c r="E363">
        <f t="shared" si="17"/>
        <v>1200</v>
      </c>
      <c r="F363" s="1">
        <f>'Prepared Data'!A363</f>
        <v>1200</v>
      </c>
    </row>
    <row r="364" spans="3:6" x14ac:dyDescent="0.2">
      <c r="C364">
        <f t="shared" si="15"/>
        <v>1039.2934782608695</v>
      </c>
      <c r="D364">
        <f t="shared" si="16"/>
        <v>1000</v>
      </c>
      <c r="E364">
        <f t="shared" si="17"/>
        <v>1200</v>
      </c>
      <c r="F364" s="1">
        <f>'Prepared Data'!A364</f>
        <v>1200</v>
      </c>
    </row>
    <row r="365" spans="3:6" x14ac:dyDescent="0.2">
      <c r="C365">
        <f t="shared" si="15"/>
        <v>1039.2934782608695</v>
      </c>
      <c r="D365">
        <f t="shared" si="16"/>
        <v>1000</v>
      </c>
      <c r="E365">
        <f t="shared" si="17"/>
        <v>1200</v>
      </c>
      <c r="F365" s="1">
        <f>'Prepared Data'!A365</f>
        <v>1000</v>
      </c>
    </row>
    <row r="366" spans="3:6" x14ac:dyDescent="0.2">
      <c r="C366">
        <f t="shared" si="15"/>
        <v>1039.2934782608695</v>
      </c>
      <c r="D366">
        <f t="shared" si="16"/>
        <v>1000</v>
      </c>
      <c r="E366">
        <f t="shared" si="17"/>
        <v>1200</v>
      </c>
      <c r="F366" s="1">
        <f>'Prepared Data'!A366</f>
        <v>800</v>
      </c>
    </row>
    <row r="367" spans="3:6" x14ac:dyDescent="0.2">
      <c r="C367">
        <f t="shared" si="15"/>
        <v>1039.2934782608695</v>
      </c>
      <c r="D367">
        <f t="shared" si="16"/>
        <v>1000</v>
      </c>
      <c r="E367">
        <f t="shared" si="17"/>
        <v>1200</v>
      </c>
      <c r="F367" s="1">
        <f>'Prepared Data'!A367</f>
        <v>4000</v>
      </c>
    </row>
    <row r="368" spans="3:6" x14ac:dyDescent="0.2">
      <c r="C368">
        <f t="shared" si="15"/>
        <v>1039.2934782608695</v>
      </c>
      <c r="D368">
        <f t="shared" si="16"/>
        <v>1000</v>
      </c>
      <c r="E368">
        <f t="shared" si="17"/>
        <v>1200</v>
      </c>
      <c r="F368" s="1">
        <f>'Prepared Data'!A368</f>
        <v>1400</v>
      </c>
    </row>
    <row r="369" spans="3:6" x14ac:dyDescent="0.2">
      <c r="C369">
        <f t="shared" si="15"/>
        <v>1039.2934782608695</v>
      </c>
      <c r="D369">
        <f t="shared" si="16"/>
        <v>1000</v>
      </c>
      <c r="E369">
        <f t="shared" si="17"/>
        <v>1200</v>
      </c>
      <c r="F369" s="1">
        <f>'Prepared Data'!A369</f>
        <v>2000</v>
      </c>
    </row>
    <row r="370" spans="3:6" x14ac:dyDescent="0.2">
      <c r="C370">
        <f t="shared" si="15"/>
        <v>1039.2934782608695</v>
      </c>
      <c r="D370">
        <f t="shared" si="16"/>
        <v>1000</v>
      </c>
      <c r="E370">
        <f t="shared" si="17"/>
        <v>1200</v>
      </c>
      <c r="F370" s="1">
        <f>'Prepared Data'!A370</f>
        <v>1200</v>
      </c>
    </row>
    <row r="371" spans="3:6" x14ac:dyDescent="0.2">
      <c r="C371">
        <f t="shared" si="15"/>
        <v>1039.2934782608695</v>
      </c>
      <c r="D371">
        <f t="shared" si="16"/>
        <v>1000</v>
      </c>
      <c r="E371">
        <f t="shared" si="17"/>
        <v>1200</v>
      </c>
      <c r="F371" s="1">
        <f>'Prepared Data'!A371</f>
        <v>1200</v>
      </c>
    </row>
    <row r="372" spans="3:6" x14ac:dyDescent="0.2">
      <c r="C372">
        <f t="shared" si="15"/>
        <v>1039.2934782608695</v>
      </c>
      <c r="D372">
        <f t="shared" si="16"/>
        <v>1000</v>
      </c>
      <c r="E372">
        <f t="shared" si="17"/>
        <v>1200</v>
      </c>
      <c r="F372" s="1">
        <f>'Prepared Data'!A372</f>
        <v>1200</v>
      </c>
    </row>
    <row r="373" spans="3:6" x14ac:dyDescent="0.2">
      <c r="C373">
        <f t="shared" si="15"/>
        <v>1039.2934782608695</v>
      </c>
      <c r="D373">
        <f t="shared" si="16"/>
        <v>1000</v>
      </c>
      <c r="E373">
        <f t="shared" si="17"/>
        <v>1200</v>
      </c>
      <c r="F373" s="1">
        <f>'Prepared Data'!A373</f>
        <v>1500</v>
      </c>
    </row>
    <row r="374" spans="3:6" x14ac:dyDescent="0.2">
      <c r="C374">
        <f t="shared" si="15"/>
        <v>1039.2934782608695</v>
      </c>
      <c r="D374">
        <f t="shared" si="16"/>
        <v>1000</v>
      </c>
      <c r="E374">
        <f t="shared" si="17"/>
        <v>1200</v>
      </c>
      <c r="F374" s="1">
        <f>'Prepared Data'!A374</f>
        <v>1500</v>
      </c>
    </row>
    <row r="375" spans="3:6" x14ac:dyDescent="0.2">
      <c r="C375">
        <f t="shared" si="15"/>
        <v>1039.2934782608695</v>
      </c>
      <c r="D375">
        <f t="shared" si="16"/>
        <v>1000</v>
      </c>
      <c r="E375">
        <f t="shared" si="17"/>
        <v>1200</v>
      </c>
      <c r="F375" s="1">
        <f>'Prepared Data'!A375</f>
        <v>1500</v>
      </c>
    </row>
    <row r="376" spans="3:6" x14ac:dyDescent="0.2">
      <c r="C376">
        <f t="shared" si="15"/>
        <v>1039.2934782608695</v>
      </c>
      <c r="D376">
        <f t="shared" si="16"/>
        <v>1000</v>
      </c>
      <c r="E376">
        <f t="shared" si="17"/>
        <v>1200</v>
      </c>
      <c r="F376" s="1">
        <f>'Prepared Data'!A376</f>
        <v>1200</v>
      </c>
    </row>
    <row r="377" spans="3:6" x14ac:dyDescent="0.2">
      <c r="C377">
        <f t="shared" si="15"/>
        <v>1039.2934782608695</v>
      </c>
      <c r="D377">
        <f t="shared" si="16"/>
        <v>1000</v>
      </c>
      <c r="E377">
        <f t="shared" si="17"/>
        <v>1200</v>
      </c>
      <c r="F377" s="1">
        <f>'Prepared Data'!A377</f>
        <v>2000</v>
      </c>
    </row>
    <row r="378" spans="3:6" x14ac:dyDescent="0.2">
      <c r="C378">
        <f t="shared" si="15"/>
        <v>1039.2934782608695</v>
      </c>
      <c r="D378">
        <f t="shared" si="16"/>
        <v>1000</v>
      </c>
      <c r="E378">
        <f t="shared" si="17"/>
        <v>1200</v>
      </c>
      <c r="F378" s="1">
        <f>'Prepared Data'!A378</f>
        <v>1200</v>
      </c>
    </row>
    <row r="379" spans="3:6" x14ac:dyDescent="0.2">
      <c r="C379">
        <f t="shared" si="15"/>
        <v>1039.2934782608695</v>
      </c>
      <c r="D379">
        <f t="shared" si="16"/>
        <v>1000</v>
      </c>
      <c r="E379">
        <f t="shared" si="17"/>
        <v>1200</v>
      </c>
      <c r="F379" s="1">
        <f>'Prepared Data'!A379</f>
        <v>1000</v>
      </c>
    </row>
    <row r="380" spans="3:6" x14ac:dyDescent="0.2">
      <c r="C380">
        <f t="shared" si="15"/>
        <v>1039.2934782608695</v>
      </c>
      <c r="D380">
        <f t="shared" si="16"/>
        <v>1000</v>
      </c>
      <c r="E380">
        <f t="shared" si="17"/>
        <v>1200</v>
      </c>
      <c r="F380" s="1">
        <f>'Prepared Data'!A380</f>
        <v>1500</v>
      </c>
    </row>
    <row r="381" spans="3:6" x14ac:dyDescent="0.2">
      <c r="C381">
        <f t="shared" si="15"/>
        <v>1039.2934782608695</v>
      </c>
      <c r="D381">
        <f t="shared" si="16"/>
        <v>1000</v>
      </c>
      <c r="E381">
        <f t="shared" si="17"/>
        <v>1200</v>
      </c>
      <c r="F381" s="1">
        <f>'Prepared Data'!A381</f>
        <v>1400</v>
      </c>
    </row>
    <row r="382" spans="3:6" x14ac:dyDescent="0.2">
      <c r="C382">
        <f t="shared" si="15"/>
        <v>1039.2934782608695</v>
      </c>
      <c r="D382">
        <f t="shared" si="16"/>
        <v>1000</v>
      </c>
      <c r="E382">
        <f t="shared" si="17"/>
        <v>1200</v>
      </c>
      <c r="F382" s="1">
        <f>'Prepared Data'!A382</f>
        <v>900</v>
      </c>
    </row>
    <row r="383" spans="3:6" x14ac:dyDescent="0.2">
      <c r="C383">
        <f t="shared" si="15"/>
        <v>1039.2934782608695</v>
      </c>
      <c r="D383">
        <f t="shared" si="16"/>
        <v>1000</v>
      </c>
      <c r="E383">
        <f t="shared" si="17"/>
        <v>1200</v>
      </c>
      <c r="F383" s="1">
        <f>'Prepared Data'!A383</f>
        <v>900</v>
      </c>
    </row>
    <row r="384" spans="3:6" x14ac:dyDescent="0.2">
      <c r="C384">
        <f t="shared" si="15"/>
        <v>1039.2934782608695</v>
      </c>
      <c r="D384">
        <f t="shared" si="16"/>
        <v>1000</v>
      </c>
      <c r="E384">
        <f t="shared" si="17"/>
        <v>1200</v>
      </c>
      <c r="F384" s="1">
        <f>'Prepared Data'!A384</f>
        <v>1200</v>
      </c>
    </row>
    <row r="385" spans="3:6" x14ac:dyDescent="0.2">
      <c r="C385">
        <f t="shared" si="15"/>
        <v>1039.2934782608695</v>
      </c>
      <c r="D385">
        <f t="shared" si="16"/>
        <v>1000</v>
      </c>
      <c r="E385">
        <f t="shared" si="17"/>
        <v>1200</v>
      </c>
      <c r="F385" s="1">
        <f>'Prepared Data'!A385</f>
        <v>1200</v>
      </c>
    </row>
    <row r="386" spans="3:6" x14ac:dyDescent="0.2">
      <c r="C386">
        <f t="shared" si="15"/>
        <v>1039.2934782608695</v>
      </c>
      <c r="D386">
        <f t="shared" si="16"/>
        <v>1000</v>
      </c>
      <c r="E386">
        <f t="shared" si="17"/>
        <v>1200</v>
      </c>
      <c r="F386" s="1">
        <f>'Prepared Data'!A386</f>
        <v>2500</v>
      </c>
    </row>
    <row r="387" spans="3:6" x14ac:dyDescent="0.2">
      <c r="C387">
        <f t="shared" ref="C387:C415" si="18">$B$5</f>
        <v>1039.2934782608695</v>
      </c>
      <c r="D387">
        <f t="shared" ref="D387:D415" si="19">$B$6</f>
        <v>1000</v>
      </c>
      <c r="E387">
        <f t="shared" ref="E387:E415" si="20">$B$7</f>
        <v>1200</v>
      </c>
      <c r="F387" s="1">
        <f>'Prepared Data'!A387</f>
        <v>1000</v>
      </c>
    </row>
    <row r="388" spans="3:6" x14ac:dyDescent="0.2">
      <c r="C388">
        <f t="shared" si="18"/>
        <v>1039.2934782608695</v>
      </c>
      <c r="D388">
        <f t="shared" si="19"/>
        <v>1000</v>
      </c>
      <c r="E388">
        <f t="shared" si="20"/>
        <v>1200</v>
      </c>
      <c r="F388" s="1">
        <f>'Prepared Data'!A388</f>
        <v>1100</v>
      </c>
    </row>
    <row r="389" spans="3:6" x14ac:dyDescent="0.2">
      <c r="C389">
        <f t="shared" si="18"/>
        <v>1039.2934782608695</v>
      </c>
      <c r="D389">
        <f t="shared" si="19"/>
        <v>1000</v>
      </c>
      <c r="E389">
        <f t="shared" si="20"/>
        <v>1200</v>
      </c>
      <c r="F389" s="1">
        <f>'Prepared Data'!A389</f>
        <v>1100</v>
      </c>
    </row>
    <row r="390" spans="3:6" x14ac:dyDescent="0.2">
      <c r="C390">
        <f t="shared" si="18"/>
        <v>1039.2934782608695</v>
      </c>
      <c r="D390">
        <f t="shared" si="19"/>
        <v>1000</v>
      </c>
      <c r="E390">
        <f t="shared" si="20"/>
        <v>1200</v>
      </c>
      <c r="F390" s="1">
        <f>'Prepared Data'!A390</f>
        <v>1200</v>
      </c>
    </row>
    <row r="391" spans="3:6" x14ac:dyDescent="0.2">
      <c r="C391">
        <f t="shared" si="18"/>
        <v>1039.2934782608695</v>
      </c>
      <c r="D391">
        <f t="shared" si="19"/>
        <v>1000</v>
      </c>
      <c r="E391">
        <f t="shared" si="20"/>
        <v>1200</v>
      </c>
      <c r="F391" s="1">
        <f>'Prepared Data'!A391</f>
        <v>1200</v>
      </c>
    </row>
    <row r="392" spans="3:6" x14ac:dyDescent="0.2">
      <c r="C392">
        <f t="shared" si="18"/>
        <v>1039.2934782608695</v>
      </c>
      <c r="D392">
        <f t="shared" si="19"/>
        <v>1000</v>
      </c>
      <c r="E392">
        <f t="shared" si="20"/>
        <v>1200</v>
      </c>
      <c r="F392" s="1">
        <f>'Prepared Data'!A392</f>
        <v>1100</v>
      </c>
    </row>
    <row r="393" spans="3:6" x14ac:dyDescent="0.2">
      <c r="C393">
        <f t="shared" si="18"/>
        <v>1039.2934782608695</v>
      </c>
      <c r="D393">
        <f t="shared" si="19"/>
        <v>1000</v>
      </c>
      <c r="E393">
        <f t="shared" si="20"/>
        <v>1200</v>
      </c>
      <c r="F393" s="1">
        <f>'Prepared Data'!A393</f>
        <v>1200</v>
      </c>
    </row>
    <row r="394" spans="3:6" x14ac:dyDescent="0.2">
      <c r="C394">
        <f t="shared" si="18"/>
        <v>1039.2934782608695</v>
      </c>
      <c r="D394">
        <f t="shared" si="19"/>
        <v>1000</v>
      </c>
      <c r="E394">
        <f t="shared" si="20"/>
        <v>1200</v>
      </c>
      <c r="F394" s="1">
        <f>'Prepared Data'!A394</f>
        <v>2500</v>
      </c>
    </row>
    <row r="395" spans="3:6" x14ac:dyDescent="0.2">
      <c r="C395">
        <f t="shared" si="18"/>
        <v>1039.2934782608695</v>
      </c>
      <c r="D395">
        <f t="shared" si="19"/>
        <v>1000</v>
      </c>
      <c r="E395">
        <f t="shared" si="20"/>
        <v>1200</v>
      </c>
      <c r="F395" s="1">
        <f>'Prepared Data'!A395</f>
        <v>3000</v>
      </c>
    </row>
    <row r="396" spans="3:6" x14ac:dyDescent="0.2">
      <c r="C396">
        <f t="shared" si="18"/>
        <v>1039.2934782608695</v>
      </c>
      <c r="D396">
        <f t="shared" si="19"/>
        <v>1000</v>
      </c>
      <c r="E396">
        <f t="shared" si="20"/>
        <v>1200</v>
      </c>
      <c r="F396" s="1">
        <f>'Prepared Data'!A396</f>
        <v>1200</v>
      </c>
    </row>
    <row r="397" spans="3:6" x14ac:dyDescent="0.2">
      <c r="C397">
        <f t="shared" si="18"/>
        <v>1039.2934782608695</v>
      </c>
      <c r="D397">
        <f t="shared" si="19"/>
        <v>1000</v>
      </c>
      <c r="E397">
        <f t="shared" si="20"/>
        <v>1200</v>
      </c>
      <c r="F397" s="1">
        <f>'Prepared Data'!A397</f>
        <v>1000</v>
      </c>
    </row>
    <row r="398" spans="3:6" x14ac:dyDescent="0.2">
      <c r="C398">
        <f t="shared" si="18"/>
        <v>1039.2934782608695</v>
      </c>
      <c r="D398">
        <f t="shared" si="19"/>
        <v>1000</v>
      </c>
      <c r="E398">
        <f t="shared" si="20"/>
        <v>1200</v>
      </c>
      <c r="F398" s="1">
        <f>'Prepared Data'!A398</f>
        <v>1000</v>
      </c>
    </row>
    <row r="399" spans="3:6" x14ac:dyDescent="0.2">
      <c r="C399">
        <f t="shared" si="18"/>
        <v>1039.2934782608695</v>
      </c>
      <c r="D399">
        <f t="shared" si="19"/>
        <v>1000</v>
      </c>
      <c r="E399">
        <f t="shared" si="20"/>
        <v>1200</v>
      </c>
      <c r="F399" s="1">
        <f>'Prepared Data'!A399</f>
        <v>1200</v>
      </c>
    </row>
    <row r="400" spans="3:6" x14ac:dyDescent="0.2">
      <c r="C400">
        <f t="shared" si="18"/>
        <v>1039.2934782608695</v>
      </c>
      <c r="D400">
        <f t="shared" si="19"/>
        <v>1000</v>
      </c>
      <c r="E400">
        <f t="shared" si="20"/>
        <v>1200</v>
      </c>
      <c r="F400" s="1">
        <f>'Prepared Data'!A400</f>
        <v>1000</v>
      </c>
    </row>
    <row r="401" spans="3:6" x14ac:dyDescent="0.2">
      <c r="C401">
        <f t="shared" si="18"/>
        <v>1039.2934782608695</v>
      </c>
      <c r="D401">
        <f t="shared" si="19"/>
        <v>1000</v>
      </c>
      <c r="E401">
        <f t="shared" si="20"/>
        <v>1200</v>
      </c>
      <c r="F401" s="1">
        <f>'Prepared Data'!A401</f>
        <v>1200</v>
      </c>
    </row>
    <row r="402" spans="3:6" x14ac:dyDescent="0.2">
      <c r="C402">
        <f t="shared" si="18"/>
        <v>1039.2934782608695</v>
      </c>
      <c r="D402">
        <f t="shared" si="19"/>
        <v>1000</v>
      </c>
      <c r="E402">
        <f t="shared" si="20"/>
        <v>1200</v>
      </c>
      <c r="F402" s="1">
        <f>'Prepared Data'!A402</f>
        <v>1500</v>
      </c>
    </row>
    <row r="403" spans="3:6" x14ac:dyDescent="0.2">
      <c r="C403">
        <f t="shared" si="18"/>
        <v>1039.2934782608695</v>
      </c>
      <c r="D403">
        <f t="shared" si="19"/>
        <v>1000</v>
      </c>
      <c r="E403">
        <f t="shared" si="20"/>
        <v>1200</v>
      </c>
      <c r="F403" s="1">
        <f>'Prepared Data'!A403</f>
        <v>500</v>
      </c>
    </row>
    <row r="404" spans="3:6" x14ac:dyDescent="0.2">
      <c r="C404">
        <f t="shared" si="18"/>
        <v>1039.2934782608695</v>
      </c>
      <c r="D404">
        <f t="shared" si="19"/>
        <v>1000</v>
      </c>
      <c r="E404">
        <f t="shared" si="20"/>
        <v>1200</v>
      </c>
      <c r="F404" s="1">
        <f>'Prepared Data'!A404</f>
        <v>1100</v>
      </c>
    </row>
    <row r="405" spans="3:6" x14ac:dyDescent="0.2">
      <c r="C405">
        <f t="shared" si="18"/>
        <v>1039.2934782608695</v>
      </c>
      <c r="D405">
        <f t="shared" si="19"/>
        <v>1000</v>
      </c>
      <c r="E405">
        <f t="shared" si="20"/>
        <v>1200</v>
      </c>
      <c r="F405" s="1">
        <f>'Prepared Data'!A405</f>
        <v>900</v>
      </c>
    </row>
    <row r="406" spans="3:6" x14ac:dyDescent="0.2">
      <c r="C406">
        <f t="shared" si="18"/>
        <v>1039.2934782608695</v>
      </c>
      <c r="D406">
        <f t="shared" si="19"/>
        <v>1000</v>
      </c>
      <c r="E406">
        <f t="shared" si="20"/>
        <v>1200</v>
      </c>
      <c r="F406" s="1">
        <f>'Prepared Data'!A406</f>
        <v>5000</v>
      </c>
    </row>
    <row r="407" spans="3:6" x14ac:dyDescent="0.2">
      <c r="C407">
        <f t="shared" si="18"/>
        <v>1039.2934782608695</v>
      </c>
      <c r="D407">
        <f t="shared" si="19"/>
        <v>1000</v>
      </c>
      <c r="E407">
        <f t="shared" si="20"/>
        <v>1200</v>
      </c>
      <c r="F407" s="1">
        <f>'Prepared Data'!A407</f>
        <v>1000</v>
      </c>
    </row>
    <row r="408" spans="3:6" x14ac:dyDescent="0.2">
      <c r="C408">
        <f t="shared" si="18"/>
        <v>1039.2934782608695</v>
      </c>
      <c r="D408">
        <f t="shared" si="19"/>
        <v>1000</v>
      </c>
      <c r="E408">
        <f t="shared" si="20"/>
        <v>1200</v>
      </c>
      <c r="F408" s="1">
        <f>'Prepared Data'!A408</f>
        <v>2500</v>
      </c>
    </row>
    <row r="409" spans="3:6" x14ac:dyDescent="0.2">
      <c r="C409">
        <f t="shared" si="18"/>
        <v>1039.2934782608695</v>
      </c>
      <c r="D409">
        <f t="shared" si="19"/>
        <v>1000</v>
      </c>
      <c r="E409">
        <f t="shared" si="20"/>
        <v>1200</v>
      </c>
      <c r="F409" s="1">
        <f>'Prepared Data'!A409</f>
        <v>2500</v>
      </c>
    </row>
    <row r="410" spans="3:6" x14ac:dyDescent="0.2">
      <c r="C410">
        <f t="shared" si="18"/>
        <v>1039.2934782608695</v>
      </c>
      <c r="D410">
        <f t="shared" si="19"/>
        <v>1000</v>
      </c>
      <c r="E410">
        <f t="shared" si="20"/>
        <v>1200</v>
      </c>
      <c r="F410" s="1">
        <f>'Prepared Data'!A410</f>
        <v>1300</v>
      </c>
    </row>
    <row r="411" spans="3:6" x14ac:dyDescent="0.2">
      <c r="C411">
        <f t="shared" si="18"/>
        <v>1039.2934782608695</v>
      </c>
      <c r="D411">
        <f t="shared" si="19"/>
        <v>1000</v>
      </c>
      <c r="E411">
        <f t="shared" si="20"/>
        <v>1200</v>
      </c>
      <c r="F411" s="1">
        <f>'Prepared Data'!A411</f>
        <v>1300</v>
      </c>
    </row>
    <row r="412" spans="3:6" x14ac:dyDescent="0.2">
      <c r="C412">
        <f t="shared" si="18"/>
        <v>1039.2934782608695</v>
      </c>
      <c r="D412">
        <f t="shared" si="19"/>
        <v>1000</v>
      </c>
      <c r="E412">
        <f t="shared" si="20"/>
        <v>1200</v>
      </c>
      <c r="F412" s="1">
        <f>'Prepared Data'!A412</f>
        <v>1500</v>
      </c>
    </row>
    <row r="413" spans="3:6" x14ac:dyDescent="0.2">
      <c r="C413">
        <f t="shared" si="18"/>
        <v>1039.2934782608695</v>
      </c>
      <c r="D413">
        <f t="shared" si="19"/>
        <v>1000</v>
      </c>
      <c r="E413">
        <f t="shared" si="20"/>
        <v>1200</v>
      </c>
      <c r="F413" s="1">
        <f>'Prepared Data'!A413</f>
        <v>900</v>
      </c>
    </row>
    <row r="414" spans="3:6" x14ac:dyDescent="0.2">
      <c r="C414">
        <f t="shared" si="18"/>
        <v>1039.2934782608695</v>
      </c>
      <c r="D414">
        <f t="shared" si="19"/>
        <v>1000</v>
      </c>
      <c r="E414">
        <f t="shared" si="20"/>
        <v>1200</v>
      </c>
      <c r="F414" s="1">
        <f>'Prepared Data'!A414</f>
        <v>1400</v>
      </c>
    </row>
    <row r="415" spans="3:6" x14ac:dyDescent="0.2">
      <c r="C415">
        <f t="shared" si="18"/>
        <v>1039.2934782608695</v>
      </c>
      <c r="D415">
        <f t="shared" si="19"/>
        <v>1000</v>
      </c>
      <c r="E415">
        <f t="shared" si="20"/>
        <v>1200</v>
      </c>
      <c r="F415" s="1">
        <f>'Prepared Data'!A415</f>
        <v>1200</v>
      </c>
    </row>
    <row r="416" spans="3:6" x14ac:dyDescent="0.2">
      <c r="F416" s="1"/>
    </row>
    <row r="417" spans="6:6" x14ac:dyDescent="0.2">
      <c r="F417" s="1"/>
    </row>
    <row r="418" spans="6:6" x14ac:dyDescent="0.2">
      <c r="F418" s="1"/>
    </row>
    <row r="419" spans="6:6" x14ac:dyDescent="0.2">
      <c r="F419" s="1"/>
    </row>
    <row r="420" spans="6:6" x14ac:dyDescent="0.2">
      <c r="F420" s="1"/>
    </row>
    <row r="421" spans="6:6" x14ac:dyDescent="0.2">
      <c r="F421" s="1"/>
    </row>
    <row r="422" spans="6:6" x14ac:dyDescent="0.2">
      <c r="F422" s="1"/>
    </row>
    <row r="423" spans="6:6" x14ac:dyDescent="0.2">
      <c r="F423" s="1"/>
    </row>
    <row r="424" spans="6:6" x14ac:dyDescent="0.2">
      <c r="F424" s="1"/>
    </row>
    <row r="425" spans="6:6" x14ac:dyDescent="0.2">
      <c r="F425" s="1"/>
    </row>
    <row r="426" spans="6:6" x14ac:dyDescent="0.2">
      <c r="F426" s="1"/>
    </row>
    <row r="427" spans="6:6" x14ac:dyDescent="0.2">
      <c r="F427" s="1"/>
    </row>
    <row r="428" spans="6:6" x14ac:dyDescent="0.2">
      <c r="F428" s="1"/>
    </row>
    <row r="429" spans="6:6" x14ac:dyDescent="0.2">
      <c r="F429" s="1"/>
    </row>
    <row r="430" spans="6:6" x14ac:dyDescent="0.2">
      <c r="F430" s="1"/>
    </row>
    <row r="431" spans="6:6" x14ac:dyDescent="0.2">
      <c r="F431" s="1"/>
    </row>
    <row r="432" spans="6:6" x14ac:dyDescent="0.2">
      <c r="F432" s="1"/>
    </row>
    <row r="433" spans="6:6" x14ac:dyDescent="0.2">
      <c r="F433" s="1"/>
    </row>
    <row r="434" spans="6:6" x14ac:dyDescent="0.2">
      <c r="F434" s="1"/>
    </row>
    <row r="435" spans="6:6" x14ac:dyDescent="0.2">
      <c r="F435" s="1"/>
    </row>
    <row r="436" spans="6:6" x14ac:dyDescent="0.2">
      <c r="F436" s="1"/>
    </row>
    <row r="437" spans="6:6" x14ac:dyDescent="0.2">
      <c r="F437" s="1"/>
    </row>
    <row r="438" spans="6:6" x14ac:dyDescent="0.2">
      <c r="F438" s="1"/>
    </row>
    <row r="439" spans="6:6" x14ac:dyDescent="0.2">
      <c r="F439" s="1"/>
    </row>
    <row r="440" spans="6:6" x14ac:dyDescent="0.2">
      <c r="F440" s="1"/>
    </row>
    <row r="441" spans="6:6" x14ac:dyDescent="0.2">
      <c r="F441" s="1"/>
    </row>
    <row r="442" spans="6:6" x14ac:dyDescent="0.2">
      <c r="F442" s="1"/>
    </row>
    <row r="443" spans="6:6" x14ac:dyDescent="0.2">
      <c r="F443" s="1"/>
    </row>
    <row r="444" spans="6:6" x14ac:dyDescent="0.2">
      <c r="F444" s="1"/>
    </row>
    <row r="445" spans="6:6" x14ac:dyDescent="0.2">
      <c r="F445" s="1"/>
    </row>
    <row r="446" spans="6:6" x14ac:dyDescent="0.2">
      <c r="F446" s="1"/>
    </row>
    <row r="447" spans="6:6" x14ac:dyDescent="0.2">
      <c r="F447" s="1"/>
    </row>
    <row r="448" spans="6:6" x14ac:dyDescent="0.2">
      <c r="F448" s="1"/>
    </row>
    <row r="449" spans="6:6" x14ac:dyDescent="0.2">
      <c r="F449" s="1"/>
    </row>
    <row r="450" spans="6:6" x14ac:dyDescent="0.2">
      <c r="F450" s="1"/>
    </row>
    <row r="451" spans="6:6" x14ac:dyDescent="0.2">
      <c r="F451" s="1"/>
    </row>
    <row r="452" spans="6:6" x14ac:dyDescent="0.2">
      <c r="F452" s="1"/>
    </row>
    <row r="453" spans="6:6" x14ac:dyDescent="0.2">
      <c r="F453" s="1"/>
    </row>
    <row r="454" spans="6:6" x14ac:dyDescent="0.2">
      <c r="F454" s="1"/>
    </row>
    <row r="455" spans="6:6" x14ac:dyDescent="0.2">
      <c r="F455" s="1"/>
    </row>
    <row r="456" spans="6:6" x14ac:dyDescent="0.2">
      <c r="F456" s="1"/>
    </row>
    <row r="457" spans="6:6" x14ac:dyDescent="0.2">
      <c r="F457" s="1"/>
    </row>
    <row r="458" spans="6:6" x14ac:dyDescent="0.2">
      <c r="F458" s="1"/>
    </row>
    <row r="459" spans="6:6" x14ac:dyDescent="0.2">
      <c r="F459" s="1"/>
    </row>
    <row r="460" spans="6:6" x14ac:dyDescent="0.2">
      <c r="F460" s="1"/>
    </row>
    <row r="461" spans="6:6" x14ac:dyDescent="0.2">
      <c r="F461" s="1"/>
    </row>
    <row r="462" spans="6:6" x14ac:dyDescent="0.2">
      <c r="F462" s="1"/>
    </row>
    <row r="463" spans="6:6" x14ac:dyDescent="0.2">
      <c r="F463" s="1"/>
    </row>
    <row r="464" spans="6:6" x14ac:dyDescent="0.2">
      <c r="F464" s="1"/>
    </row>
    <row r="465" spans="6:6" x14ac:dyDescent="0.2">
      <c r="F465" s="1"/>
    </row>
    <row r="466" spans="6:6" x14ac:dyDescent="0.2">
      <c r="F466" s="1"/>
    </row>
    <row r="467" spans="6:6" x14ac:dyDescent="0.2">
      <c r="F467" s="1"/>
    </row>
    <row r="468" spans="6:6" x14ac:dyDescent="0.2">
      <c r="F468" s="1"/>
    </row>
    <row r="469" spans="6:6" x14ac:dyDescent="0.2">
      <c r="F469" s="1"/>
    </row>
    <row r="470" spans="6:6" x14ac:dyDescent="0.2">
      <c r="F470" s="1"/>
    </row>
    <row r="471" spans="6:6" x14ac:dyDescent="0.2">
      <c r="F471" s="1"/>
    </row>
    <row r="472" spans="6:6" x14ac:dyDescent="0.2">
      <c r="F472" s="1"/>
    </row>
    <row r="473" spans="6:6" x14ac:dyDescent="0.2">
      <c r="F473" s="1"/>
    </row>
    <row r="474" spans="6:6" x14ac:dyDescent="0.2">
      <c r="F474" s="1"/>
    </row>
    <row r="475" spans="6:6" x14ac:dyDescent="0.2">
      <c r="F475" s="1"/>
    </row>
    <row r="476" spans="6:6" x14ac:dyDescent="0.2">
      <c r="F476" s="1"/>
    </row>
    <row r="477" spans="6:6" x14ac:dyDescent="0.2">
      <c r="F477" s="1"/>
    </row>
    <row r="478" spans="6:6" x14ac:dyDescent="0.2">
      <c r="F478" s="1"/>
    </row>
    <row r="479" spans="6:6" x14ac:dyDescent="0.2">
      <c r="F479" s="1"/>
    </row>
    <row r="480" spans="6:6" x14ac:dyDescent="0.2">
      <c r="F480" s="1"/>
    </row>
    <row r="481" spans="6:6" x14ac:dyDescent="0.2">
      <c r="F481" s="1"/>
    </row>
    <row r="482" spans="6:6" x14ac:dyDescent="0.2">
      <c r="F482" s="1"/>
    </row>
    <row r="483" spans="6:6" x14ac:dyDescent="0.2">
      <c r="F483" s="1"/>
    </row>
    <row r="484" spans="6:6" x14ac:dyDescent="0.2">
      <c r="F484" s="1"/>
    </row>
    <row r="485" spans="6:6" x14ac:dyDescent="0.2">
      <c r="F485" s="1"/>
    </row>
    <row r="486" spans="6:6" x14ac:dyDescent="0.2">
      <c r="F486" s="1"/>
    </row>
    <row r="487" spans="6:6" x14ac:dyDescent="0.2">
      <c r="F487" s="1"/>
    </row>
    <row r="488" spans="6:6" x14ac:dyDescent="0.2">
      <c r="F488" s="1"/>
    </row>
    <row r="489" spans="6:6" x14ac:dyDescent="0.2">
      <c r="F489" s="1"/>
    </row>
    <row r="490" spans="6:6" x14ac:dyDescent="0.2">
      <c r="F490" s="1"/>
    </row>
    <row r="491" spans="6:6" x14ac:dyDescent="0.2">
      <c r="F491" s="1"/>
    </row>
    <row r="492" spans="6:6" x14ac:dyDescent="0.2">
      <c r="F492" s="1"/>
    </row>
    <row r="493" spans="6:6" x14ac:dyDescent="0.2">
      <c r="F493" s="1"/>
    </row>
    <row r="494" spans="6:6" x14ac:dyDescent="0.2">
      <c r="F494" s="1"/>
    </row>
    <row r="495" spans="6:6" x14ac:dyDescent="0.2">
      <c r="F495" s="1"/>
    </row>
    <row r="496" spans="6:6" x14ac:dyDescent="0.2">
      <c r="F496" s="1"/>
    </row>
    <row r="497" spans="6:6" x14ac:dyDescent="0.2">
      <c r="F497" s="1"/>
    </row>
    <row r="498" spans="6:6" x14ac:dyDescent="0.2">
      <c r="F498" s="1"/>
    </row>
    <row r="499" spans="6:6" x14ac:dyDescent="0.2">
      <c r="F499" s="1"/>
    </row>
    <row r="500" spans="6:6" x14ac:dyDescent="0.2">
      <c r="F500" s="1"/>
    </row>
    <row r="501" spans="6:6" x14ac:dyDescent="0.2">
      <c r="F501" s="1"/>
    </row>
    <row r="502" spans="6:6" x14ac:dyDescent="0.2">
      <c r="F502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DB473-86FA-6148-BBD2-1224CD45BF9F}">
  <dimension ref="K18:M38"/>
  <sheetViews>
    <sheetView zoomScale="125" workbookViewId="0">
      <selection activeCell="G50" sqref="G50"/>
    </sheetView>
  </sheetViews>
  <sheetFormatPr baseColWidth="10" defaultRowHeight="16" x14ac:dyDescent="0.2"/>
  <sheetData>
    <row r="18" spans="11:13" x14ac:dyDescent="0.2">
      <c r="K18" t="s">
        <v>16</v>
      </c>
      <c r="L18">
        <f>SQRT(Statistics!B1)</f>
        <v>13.564659966250536</v>
      </c>
      <c r="M18">
        <v>14</v>
      </c>
    </row>
    <row r="19" spans="11:13" x14ac:dyDescent="0.2">
      <c r="K19" t="s">
        <v>17</v>
      </c>
      <c r="L19">
        <f>Statistics!B4/Histograms!L18</f>
        <v>29.488391230979428</v>
      </c>
      <c r="M19">
        <v>30</v>
      </c>
    </row>
    <row r="33" spans="11:13" x14ac:dyDescent="0.2">
      <c r="K33" t="s">
        <v>18</v>
      </c>
      <c r="L33">
        <f>Statistics!B6 +100</f>
        <v>1100</v>
      </c>
    </row>
    <row r="34" spans="11:13" x14ac:dyDescent="0.2">
      <c r="K34" t="s">
        <v>19</v>
      </c>
      <c r="L34">
        <f>Statistics!B6 -100</f>
        <v>900</v>
      </c>
    </row>
    <row r="36" spans="11:13" x14ac:dyDescent="0.2">
      <c r="K36" t="s">
        <v>16</v>
      </c>
      <c r="L36">
        <f>SQRT(Statistics!B1)</f>
        <v>13.564659966250536</v>
      </c>
      <c r="M36">
        <v>14</v>
      </c>
    </row>
    <row r="37" spans="11:13" x14ac:dyDescent="0.2">
      <c r="K37" t="s">
        <v>20</v>
      </c>
      <c r="L37">
        <f>Statistics!B4</f>
        <v>400</v>
      </c>
    </row>
    <row r="38" spans="11:13" x14ac:dyDescent="0.2">
      <c r="K38" t="s">
        <v>21</v>
      </c>
      <c r="L38">
        <f>L37/L36</f>
        <v>29.488391230979428</v>
      </c>
      <c r="M38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Honor Pledge</vt:lpstr>
      <vt:lpstr>Prepared Data</vt:lpstr>
      <vt:lpstr>No Outliers</vt:lpstr>
      <vt:lpstr>Statistics</vt:lpstr>
      <vt:lpstr>Histograms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Cha, Josh</cp:lastModifiedBy>
  <dcterms:created xsi:type="dcterms:W3CDTF">2026-02-09T13:45:45Z</dcterms:created>
  <dcterms:modified xsi:type="dcterms:W3CDTF">2026-02-09T15:04:50Z</dcterms:modified>
</cp:coreProperties>
</file>